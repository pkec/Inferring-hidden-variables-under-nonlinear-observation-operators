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FFFFFF"/>
    </font>
    <font>
      <name val="Arial"/>
    </font>
    <font>
      <name val="Arial"/>
      <b val="1"/>
    </font>
  </fonts>
  <fills count="4">
    <fill>
      <patternFill/>
    </fill>
    <fill>
      <patternFill patternType="gray125"/>
    </fill>
    <fill>
      <patternFill patternType="solid">
        <fgColor rgb="002471A3"/>
      </patternFill>
    </fill>
    <fill>
      <patternFill patternType="solid">
        <fgColor rgb="00FDE9D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164" fontId="2" fillId="0" borderId="0" pivotButton="0" quotePrefix="0" xfId="0"/>
    <xf numFmtId="0" fontId="2" fillId="3" borderId="0" pivotButton="0" quotePrefix="0" xfId="0"/>
    <xf numFmtId="0" fontId="0" fillId="3"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3:M64"/>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9" customWidth="1" min="3" max="3"/>
    <col width="46" customWidth="1" min="4" max="4"/>
    <col width="14" customWidth="1" min="5" max="5"/>
    <col width="14" customWidth="1" min="6" max="6"/>
    <col width="14" customWidth="1" min="7" max="7"/>
    <col width="14" customWidth="1" min="8" max="8"/>
    <col width="12" customWidth="1" min="9" max="9"/>
    <col width="20" customWidth="1" min="10" max="10"/>
    <col width="16" customWidth="1" min="11" max="11"/>
    <col width="58" customWidth="1" min="12" max="12"/>
    <col width="96" customWidth="1" min="13" max="13"/>
  </cols>
  <sheetData>
    <row r="3">
      <c r="C3" s="1" t="inlineStr">
        <is>
          <t>section</t>
        </is>
      </c>
      <c r="D3" s="1" t="inlineStr">
        <is>
          <t>numbers required</t>
        </is>
      </c>
      <c r="E3" s="1" t="inlineStr">
        <is>
          <t>seed 0</t>
        </is>
      </c>
      <c r="F3" s="1" t="inlineStr">
        <is>
          <t>seed 1</t>
        </is>
      </c>
      <c r="G3" s="1" t="inlineStr">
        <is>
          <t>seed 2</t>
        </is>
      </c>
      <c r="H3" s="1" t="inlineStr">
        <is>
          <t>mean</t>
        </is>
      </c>
      <c r="I3" s="1" t="inlineStr">
        <is>
          <t>std</t>
        </is>
      </c>
      <c r="J3" s="1" t="inlineStr">
        <is>
          <t>unit</t>
        </is>
      </c>
      <c r="K3" s="1" t="inlineStr">
        <is>
          <t>seeds used</t>
        </is>
      </c>
      <c r="L3" s="1" t="inlineStr">
        <is>
          <t>source</t>
        </is>
      </c>
      <c r="M3" s="1" t="inlineStr">
        <is>
          <t>how it was computed</t>
        </is>
      </c>
    </row>
    <row r="4">
      <c r="C4" s="2" t="inlineStr">
        <is>
          <t>4.1</t>
        </is>
      </c>
      <c r="D4" s="2" t="inlineStr">
        <is>
          <t>pf calibration ratio (alpha = 0)</t>
        </is>
      </c>
      <c r="E4" s="3" t="n">
        <v>0.9788552442898909</v>
      </c>
      <c r="F4" s="3" t="n">
        <v>1.051415903271914</v>
      </c>
      <c r="G4" s="3" t="n">
        <v>0.9504197894906906</v>
      </c>
      <c r="H4" s="3">
        <f>AVERAGE(E4:G4)</f>
        <v/>
      </c>
      <c r="I4" s="3">
        <f>_xlfn.STDEV.S(E4:G4)</f>
        <v/>
      </c>
      <c r="J4" s="2" t="inlineStr">
        <is>
          <t>spread/RMSE</t>
        </is>
      </c>
      <c r="K4" s="2" t="inlineStr">
        <is>
          <t>0, 1, 2</t>
        </is>
      </c>
      <c r="L4" s="2" t="inlineStr">
        <is>
          <t>data/stage1_results_w15.npz:pf_ratio_by_seed</t>
        </is>
      </c>
      <c r="M4" s="2" t="inlineStr">
        <is>
          <t>PF calibration ratio; linear h, baseline jitter, per seed</t>
        </is>
      </c>
    </row>
    <row r="5">
      <c r="C5" s="2" t="inlineStr">
        <is>
          <t>4.1</t>
        </is>
      </c>
      <c r="D5" s="2" t="inlineStr">
        <is>
          <t>EnKF calibration ratio (alpha = 0)</t>
        </is>
      </c>
      <c r="E5" s="3" t="n">
        <v>1.034382723232194</v>
      </c>
      <c r="F5" s="3" t="n">
        <v>0.8590040971100531</v>
      </c>
      <c r="G5" s="3" t="n">
        <v>0.9735905816732808</v>
      </c>
      <c r="H5" s="3">
        <f>AVERAGE(E5:G5)</f>
        <v/>
      </c>
      <c r="I5" s="3">
        <f>_xlfn.STDEV.S(E5:G5)</f>
        <v/>
      </c>
      <c r="J5" s="2" t="inlineStr">
        <is>
          <t>spread/RMSE</t>
        </is>
      </c>
      <c r="K5" s="2" t="inlineStr">
        <is>
          <t>0, 1, 2</t>
        </is>
      </c>
      <c r="L5" s="2" t="inlineStr">
        <is>
          <t>data/stage1_results_w15.npz:en_ratio_by_seed</t>
        </is>
      </c>
      <c r="M5" s="2" t="inlineStr">
        <is>
          <t>EnKF calibration ratio; linear h, baseline jitter, per seed</t>
        </is>
      </c>
    </row>
    <row r="6">
      <c r="C6" s="2" t="inlineStr">
        <is>
          <t>4.1</t>
        </is>
      </c>
      <c r="D6" s="2" t="inlineStr">
        <is>
          <t>EnKF excess RMSE (alpha = 0)</t>
        </is>
      </c>
      <c r="E6" s="3" t="n">
        <v>48.65099654531556</v>
      </c>
      <c r="F6" s="3" t="n">
        <v>89.59509091389127</v>
      </c>
      <c r="G6" s="3" t="n">
        <v>52.52886211250637</v>
      </c>
      <c r="H6" s="3">
        <f>AVERAGE(E6:G6)</f>
        <v/>
      </c>
      <c r="I6" s="3">
        <f>_xlfn.STDEV.S(E6:G6)</f>
        <v/>
      </c>
      <c r="J6" s="2" t="inlineStr">
        <is>
          <t>%</t>
        </is>
      </c>
      <c r="K6" s="2" t="inlineStr">
        <is>
          <t>0, 1, 2</t>
        </is>
      </c>
      <c r="L6" s="2" t="inlineStr">
        <is>
          <t>data/stage1_results_w15.npz:excess_by_seed</t>
        </is>
      </c>
      <c r="M6" s="2" t="inlineStr">
        <is>
          <t>EnKF RMSE excess over the PF; linear h, baseline jitter, per seed</t>
        </is>
      </c>
    </row>
    <row r="7">
      <c r="C7" s="2" t="inlineStr">
        <is>
          <t>4.2.1</t>
        </is>
      </c>
      <c r="D7" s="2" t="inlineStr">
        <is>
          <t>EnKF Jensen bias (alpha = 1)</t>
        </is>
      </c>
      <c r="E7" s="3" t="n">
        <v>45.7022854610419</v>
      </c>
      <c r="F7" s="3" t="n">
        <v>41.75975594486905</v>
      </c>
      <c r="G7" s="3" t="n">
        <v>59.36412392640899</v>
      </c>
      <c r="H7" s="3">
        <f>AVERAGE(E7:G7)</f>
        <v/>
      </c>
      <c r="I7" s="3">
        <f>_xlfn.STDEV.S(E7:G7)</f>
        <v/>
      </c>
      <c r="J7" s="2" t="inlineStr">
        <is>
          <t>-</t>
        </is>
      </c>
      <c r="K7" s="2" t="inlineStr">
        <is>
          <t>0, 1, 2</t>
        </is>
      </c>
      <c r="L7" s="2" t="inlineStr">
        <is>
          <t>data/stage2_results_w15_fixed_snr_variable.npz:jensen_by_seed[alpha=1]</t>
        </is>
      </c>
      <c r="M7" s="2" t="inlineStr">
        <is>
          <t>mean over cycles of ||E[h(x)] - h(E[x])|| at alpha=1, per seed</t>
        </is>
      </c>
    </row>
    <row r="8">
      <c r="C8" s="2" t="inlineStr">
        <is>
          <t>4.2.1</t>
        </is>
      </c>
      <c r="D8" s="2" t="inlineStr">
        <is>
          <t>EnKF Cross Cov error (alpha = 0)</t>
        </is>
      </c>
      <c r="E8" s="3" t="n">
        <v>4.466481536778781</v>
      </c>
      <c r="F8" s="3" t="n">
        <v>4.757895628150711</v>
      </c>
      <c r="G8" s="3" t="n">
        <v>4.834458434630961</v>
      </c>
      <c r="H8" s="3">
        <f>AVERAGE(E8:G8)</f>
        <v/>
      </c>
      <c r="I8" s="3">
        <f>_xlfn.STDEV.S(E8:G8)</f>
        <v/>
      </c>
      <c r="J8" s="2" t="inlineStr">
        <is>
          <t>-</t>
        </is>
      </c>
      <c r="K8" s="2" t="inlineStr">
        <is>
          <t>0, 1, 2</t>
        </is>
      </c>
      <c r="L8" s="2" t="inlineStr">
        <is>
          <t>data/stage2_results_w15_fixed_snr_variable.npz:crosscov_by_seed[alpha=0]</t>
        </is>
      </c>
      <c r="M8" s="2" t="inlineStr">
        <is>
          <t>mean over cycles of ||Cxh(EnKF) - Cxh(PF)||_F at alpha=0, per seed</t>
        </is>
      </c>
    </row>
    <row r="9">
      <c r="C9" s="2" t="inlineStr">
        <is>
          <t>4.2.1</t>
        </is>
      </c>
      <c r="D9" s="2" t="inlineStr">
        <is>
          <t>EnKF Cross Cov error (alpha = 1)</t>
        </is>
      </c>
      <c r="E9" s="3" t="n">
        <v>1126.661634669784</v>
      </c>
      <c r="F9" s="3" t="n">
        <v>1074.597795134712</v>
      </c>
      <c r="G9" s="3" t="n">
        <v>1492.503715385602</v>
      </c>
      <c r="H9" s="3">
        <f>AVERAGE(E9:G9)</f>
        <v/>
      </c>
      <c r="I9" s="3">
        <f>_xlfn.STDEV.S(E9:G9)</f>
        <v/>
      </c>
      <c r="J9" s="2" t="inlineStr">
        <is>
          <t>-</t>
        </is>
      </c>
      <c r="K9" s="2" t="inlineStr">
        <is>
          <t>0, 1, 2</t>
        </is>
      </c>
      <c r="L9" s="2" t="inlineStr">
        <is>
          <t>data/stage2_results_w15_fixed_snr_variable.npz:crosscov_by_seed[alpha=1]</t>
        </is>
      </c>
      <c r="M9" s="2" t="inlineStr">
        <is>
          <t>mean over cycles of ||Cxh(EnKF) - Cxh(PF)||_F at alpha=1, per seed</t>
        </is>
      </c>
    </row>
    <row r="10">
      <c r="C10" s="2" t="inlineStr">
        <is>
          <t>4.2.1</t>
        </is>
      </c>
      <c r="D10" s="2" t="inlineStr">
        <is>
          <t>EnKF RMSE excess (alpha = 0)</t>
        </is>
      </c>
      <c r="E10" s="3" t="n">
        <v>48.65099654531556</v>
      </c>
      <c r="F10" s="3" t="n">
        <v>89.59509091389127</v>
      </c>
      <c r="G10" s="3" t="n">
        <v>52.52886211250637</v>
      </c>
      <c r="H10" s="3">
        <f>AVERAGE(E10:G10)</f>
        <v/>
      </c>
      <c r="I10" s="3">
        <f>_xlfn.STDEV.S(E10:G10)</f>
        <v/>
      </c>
      <c r="J10" s="2" t="inlineStr">
        <is>
          <t>%</t>
        </is>
      </c>
      <c r="K10" s="2" t="inlineStr">
        <is>
          <t>0, 1, 2</t>
        </is>
      </c>
      <c r="L10" s="2" t="inlineStr">
        <is>
          <t>data/stage2_results_w15_fixed_snr_variable.npz:excess_by_seed[alpha=0]</t>
        </is>
      </c>
      <c r="M10" s="2" t="inlineStr">
        <is>
          <t>EnKF RMSE excess over the PF at alpha=0, per seed</t>
        </is>
      </c>
    </row>
    <row r="11">
      <c r="C11" s="2" t="inlineStr">
        <is>
          <t>4.2.1</t>
        </is>
      </c>
      <c r="D11" s="2" t="inlineStr">
        <is>
          <t>EnKF RMSE excess (alpha = 0.8)</t>
        </is>
      </c>
      <c r="E11" s="3" t="n">
        <v>385.3080632973087</v>
      </c>
      <c r="F11" s="3" t="n">
        <v>506.6276741000508</v>
      </c>
      <c r="G11" s="3" t="n">
        <v>475.4115307626714</v>
      </c>
      <c r="H11" s="3">
        <f>AVERAGE(E11:G11)</f>
        <v/>
      </c>
      <c r="I11" s="3">
        <f>_xlfn.STDEV.S(E11:G11)</f>
        <v/>
      </c>
      <c r="J11" s="2" t="inlineStr">
        <is>
          <t>%</t>
        </is>
      </c>
      <c r="K11" s="2" t="inlineStr">
        <is>
          <t>0, 1, 2</t>
        </is>
      </c>
      <c r="L11" s="2" t="inlineStr">
        <is>
          <t>data/stage2_results_w15_fixed_snr_variable.npz:excess_by_seed[alpha=0.8]</t>
        </is>
      </c>
      <c r="M11" s="2" t="inlineStr">
        <is>
          <t>EnKF RMSE excess over the PF at alpha=0.8, per seed</t>
        </is>
      </c>
    </row>
    <row r="12">
      <c r="C12" s="2" t="inlineStr">
        <is>
          <t>4.2.1</t>
        </is>
      </c>
      <c r="D12" s="2" t="inlineStr">
        <is>
          <t>EnKF RMSE excess (alpha = 1)</t>
        </is>
      </c>
      <c r="E12" s="3" t="n">
        <v>206.5883808148972</v>
      </c>
      <c r="F12" s="3" t="n">
        <v>318.8466582195987</v>
      </c>
      <c r="G12" s="3" t="n">
        <v>313.2177543842565</v>
      </c>
      <c r="H12" s="3">
        <f>AVERAGE(E12:G12)</f>
        <v/>
      </c>
      <c r="I12" s="3">
        <f>_xlfn.STDEV.S(E12:G12)</f>
        <v/>
      </c>
      <c r="J12" s="2" t="inlineStr">
        <is>
          <t>%</t>
        </is>
      </c>
      <c r="K12" s="2" t="inlineStr">
        <is>
          <t>0, 1, 2</t>
        </is>
      </c>
      <c r="L12" s="2" t="inlineStr">
        <is>
          <t>data/stage2_results_w15_fixed_snr_variable.npz:excess_by_seed[alpha=1]</t>
        </is>
      </c>
      <c r="M12" s="2" t="inlineStr">
        <is>
          <t>EnKF RMSE excess over the PF at alpha=1, per seed</t>
        </is>
      </c>
    </row>
    <row r="13">
      <c r="C13" s="2" t="inlineStr">
        <is>
          <t>4.2.2</t>
        </is>
      </c>
      <c r="D13" s="2" t="inlineStr">
        <is>
          <t>EnKF vs wrong EnKF excess RMSE gap (alpha = 0.2)</t>
        </is>
      </c>
      <c r="E13" s="3" t="n">
        <v>76.01967592831689</v>
      </c>
      <c r="F13" s="3" t="n">
        <v>46.07466027633502</v>
      </c>
      <c r="G13" s="3" t="n">
        <v>41.77675418238575</v>
      </c>
      <c r="H13" s="3">
        <f>AVERAGE(E13:G13)</f>
        <v/>
      </c>
      <c r="I13" s="3">
        <f>_xlfn.STDEV.S(E13:G13)</f>
        <v/>
      </c>
      <c r="J13" s="2" t="inlineStr">
        <is>
          <t>pp</t>
        </is>
      </c>
      <c r="K13" s="2" t="inlineStr">
        <is>
          <t>0, 1, 2</t>
        </is>
      </c>
      <c r="L13" s="2" t="inlineStr">
        <is>
          <t>data/stage2_hbar_w15_fixed_snr_variable.npz:penalty_by_seed[alpha=0.2]</t>
        </is>
      </c>
      <c r="M13" s="2" t="inlineStr">
        <is>
          <t>h(E[x]) RMSE penalty over the standard E[h(x)] EnKF at alpha=0.2, per seed</t>
        </is>
      </c>
    </row>
    <row r="14">
      <c r="C14" s="2" t="inlineStr">
        <is>
          <t>4.2.3</t>
        </is>
      </c>
      <c r="D14" s="2" t="inlineStr">
        <is>
          <t>EnKF calibration ratio (alpha = 0)</t>
        </is>
      </c>
      <c r="E14" s="3" t="n">
        <v>1.034382723232194</v>
      </c>
      <c r="F14" s="3" t="n">
        <v>0.8590040971100531</v>
      </c>
      <c r="G14" s="3" t="n">
        <v>0.9735905816732808</v>
      </c>
      <c r="H14" s="3">
        <f>AVERAGE(E14:G14)</f>
        <v/>
      </c>
      <c r="I14" s="3">
        <f>_xlfn.STDEV.S(E14:G14)</f>
        <v/>
      </c>
      <c r="J14" s="2" t="inlineStr">
        <is>
          <t>spread/RMSE</t>
        </is>
      </c>
      <c r="K14" s="2" t="inlineStr">
        <is>
          <t>0, 1, 2</t>
        </is>
      </c>
      <c r="L14" s="2" t="inlineStr">
        <is>
          <t>data/stage2_results_w15_fixed_snr_variable.npz:en_ratio_by_seed[alpha=0]</t>
        </is>
      </c>
      <c r="M14" s="2" t="inlineStr">
        <is>
          <t>EnKF calibration ratio at alpha=0, per seed</t>
        </is>
      </c>
    </row>
    <row r="15">
      <c r="C15" s="2" t="inlineStr">
        <is>
          <t>4.2.3</t>
        </is>
      </c>
      <c r="D15" s="2" t="inlineStr">
        <is>
          <t>EnKF calibration ratio (alpha = 1)</t>
        </is>
      </c>
      <c r="E15" s="3" t="n">
        <v>0.725303131884778</v>
      </c>
      <c r="F15" s="3" t="n">
        <v>0.643463642641937</v>
      </c>
      <c r="G15" s="3" t="n">
        <v>0.8525032025736943</v>
      </c>
      <c r="H15" s="3">
        <f>AVERAGE(E15:G15)</f>
        <v/>
      </c>
      <c r="I15" s="3">
        <f>_xlfn.STDEV.S(E15:G15)</f>
        <v/>
      </c>
      <c r="J15" s="2" t="inlineStr">
        <is>
          <t>spread/RMSE</t>
        </is>
      </c>
      <c r="K15" s="2" t="inlineStr">
        <is>
          <t>0, 1, 2</t>
        </is>
      </c>
      <c r="L15" s="2" t="inlineStr">
        <is>
          <t>data/stage2_results_w15_fixed_snr_variable.npz:en_ratio_by_seed[alpha=1]</t>
        </is>
      </c>
      <c r="M15" s="2" t="inlineStr">
        <is>
          <t>EnKF calibration ratio at alpha=1, per seed</t>
        </is>
      </c>
    </row>
    <row r="16">
      <c r="C16" s="2" t="inlineStr">
        <is>
          <t>4.2.3</t>
        </is>
      </c>
      <c r="D16" s="2" t="inlineStr">
        <is>
          <t>EnKF wrong update calibration ratio (alpha = 1)</t>
        </is>
      </c>
      <c r="E16" s="3" t="n">
        <v>0.4173411508165952</v>
      </c>
      <c r="F16" s="3" t="n">
        <v>0.3755357150721408</v>
      </c>
      <c r="G16" s="3" t="n">
        <v>0.3878618222154289</v>
      </c>
      <c r="H16" s="3">
        <f>AVERAGE(E16:G16)</f>
        <v/>
      </c>
      <c r="I16" s="3">
        <f>_xlfn.STDEV.S(E16:G16)</f>
        <v/>
      </c>
      <c r="J16" s="2" t="inlineStr">
        <is>
          <t>spread/RMSE</t>
        </is>
      </c>
      <c r="K16" s="2" t="inlineStr">
        <is>
          <t>0, 1, 2</t>
        </is>
      </c>
      <c r="L16" s="2" t="inlineStr">
        <is>
          <t>data/stage2_hbar_w15_fixed_snr_variable.npz:ratio_hb_by_seed[alpha=1]</t>
        </is>
      </c>
      <c r="M16" s="2" t="inlineStr">
        <is>
          <t>h(E[x])-anchored EnKF calibration ratio at alpha=1, per seed</t>
        </is>
      </c>
    </row>
    <row r="17">
      <c r="C17" s="2" t="inlineStr">
        <is>
          <t>4.3.1</t>
        </is>
      </c>
      <c r="D17" s="2" t="inlineStr">
        <is>
          <t>QR-EnKF excess removed - max over the sweep</t>
        </is>
      </c>
      <c r="E17" s="3" t="n">
        <v>202.6933398695428</v>
      </c>
      <c r="F17" s="3" t="n">
        <v>312.7902288987783</v>
      </c>
      <c r="G17" s="3" t="n">
        <v>144.2116958960939</v>
      </c>
      <c r="H17" s="3">
        <f>AVERAGE(E17:G17)</f>
        <v/>
      </c>
      <c r="I17" s="3">
        <f>_xlfn.STDEV.S(E17:G17)</f>
        <v/>
      </c>
      <c r="J17" s="2" t="inlineStr">
        <is>
          <t>pp</t>
        </is>
      </c>
      <c r="K17" s="2" t="inlineStr">
        <is>
          <t>0, 1, 2</t>
        </is>
      </c>
      <c r="L17" s="2" t="inlineStr">
        <is>
          <t>data/stage2_results_w15_fixed_snr_variable.npz:excess_by_seed - excess_qr_by_seed [alpha=0.8]</t>
        </is>
      </c>
      <c r="M17" s="2" t="inlineStr">
        <is>
          <t>EnKF excess minus QR-EnKF excess; alpha=0.8 is the argmax of the seed-mean curve, and the seed columns are the per-seed values there</t>
        </is>
      </c>
    </row>
    <row r="18">
      <c r="C18" s="2" t="inlineStr">
        <is>
          <t>4.3.1</t>
        </is>
      </c>
      <c r="D18" s="2" t="inlineStr">
        <is>
          <t>QR-EnKF excess removed vs EnKF - mean over the a sweep</t>
        </is>
      </c>
      <c r="E18" s="3" t="n">
        <v>73.36125678227432</v>
      </c>
      <c r="F18" s="3" t="n">
        <v>211.5915760758579</v>
      </c>
      <c r="G18" s="3" t="n">
        <v>62.59024377980855</v>
      </c>
      <c r="H18" s="3">
        <f>AVERAGE(E18:G18)</f>
        <v/>
      </c>
      <c r="I18" s="3">
        <f>_xlfn.STDEV.S(E18:G18)</f>
        <v/>
      </c>
      <c r="J18" s="2" t="inlineStr">
        <is>
          <t>pp</t>
        </is>
      </c>
      <c r="K18" s="2" t="inlineStr">
        <is>
          <t>0, 1, 2</t>
        </is>
      </c>
      <c r="L18" s="2" t="inlineStr">
        <is>
          <t>data/stage2_results_w15_fixed_snr_variable.npz:excess_by_seed - excess_qr_by_seed</t>
        </is>
      </c>
      <c r="M18" s="2" t="inlineStr">
        <is>
          <t>EnKF excess minus QR-EnKF excess: mean over the whole alpha grid within each seed</t>
        </is>
      </c>
    </row>
    <row r="19">
      <c r="C19" s="2" t="inlineStr">
        <is>
          <t>4.3.1</t>
        </is>
      </c>
      <c r="D19" s="2" t="inlineStr">
        <is>
          <t>QR-EnKF Jensen bias reduction as % of EnKF</t>
        </is>
      </c>
      <c r="E19" s="3" t="n">
        <v>27.36030104797607</v>
      </c>
      <c r="F19" s="3" t="n">
        <v>49.02062865178222</v>
      </c>
      <c r="G19" s="3" t="n">
        <v>38.68800964424087</v>
      </c>
      <c r="H19" s="3">
        <f>AVERAGE(E19:G19)</f>
        <v/>
      </c>
      <c r="I19" s="3">
        <f>_xlfn.STDEV.S(E19:G19)</f>
        <v/>
      </c>
      <c r="J19" s="2" t="inlineStr">
        <is>
          <t>%</t>
        </is>
      </c>
      <c r="K19" s="2" t="inlineStr">
        <is>
          <t>0, 1, 2</t>
        </is>
      </c>
      <c r="L19" s="2" t="inlineStr">
        <is>
          <t>data/stage2_results_w15_fixed_snr_variable.npz:(jensen_by_seed - jensen_qr_by_seed)/jensen_by_seed</t>
        </is>
      </c>
      <c r="M19" s="2" t="inlineStr">
        <is>
          <t>QR-EnKF Jensen bias: reduction vs the standard EnKF at the same alpha, mean over alpha &gt; 0 within each seed (alpha=0 excluded, the bias is identically zero there)</t>
        </is>
      </c>
    </row>
    <row r="20">
      <c r="C20" s="2" t="inlineStr">
        <is>
          <t>4.3.1</t>
        </is>
      </c>
      <c r="D20" s="2" t="inlineStr">
        <is>
          <t>QR-EnKF cross-cov error reduction as % of EnKF</t>
        </is>
      </c>
      <c r="E20" s="3" t="n">
        <v>25.66571465518364</v>
      </c>
      <c r="F20" s="3" t="n">
        <v>48.75209262052677</v>
      </c>
      <c r="G20" s="3" t="n">
        <v>38.46489105742599</v>
      </c>
      <c r="H20" s="3">
        <f>AVERAGE(E20:G20)</f>
        <v/>
      </c>
      <c r="I20" s="3">
        <f>_xlfn.STDEV.S(E20:G20)</f>
        <v/>
      </c>
      <c r="J20" s="2" t="inlineStr">
        <is>
          <t>%</t>
        </is>
      </c>
      <c r="K20" s="2" t="inlineStr">
        <is>
          <t>0, 1, 2</t>
        </is>
      </c>
      <c r="L20" s="2" t="inlineStr">
        <is>
          <t>data/stage2_results_w15_fixed_snr_variable.npz:(crosscov_by_seed - crosscov_qr_by_seed)/crosscov_by_seed</t>
        </is>
      </c>
      <c r="M20" s="2" t="inlineStr">
        <is>
          <t>QR-EnKF cross-covariance error: reduction vs the standard EnKF at the same alpha, mean over alpha &gt; 0 within each seed (alpha=0 excluded, the bias is identically zero there)</t>
        </is>
      </c>
    </row>
    <row r="21">
      <c r="C21" s="2" t="inlineStr">
        <is>
          <t>4.3.1</t>
        </is>
      </c>
      <c r="D21" s="2" t="inlineStr">
        <is>
          <t>extrapolation number Ne = 50 a=0.1 for all</t>
        </is>
      </c>
      <c r="H21" s="3" t="n">
        <v>83.09976643309977</v>
      </c>
      <c r="I21" s="3" t="n">
        <v>18.81677211305373</v>
      </c>
      <c r="J21" s="2" t="inlineStr">
        <is>
          <t>% of cycles</t>
        </is>
      </c>
      <c r="K21" s="2" t="inlineStr">
        <is>
          <t>0, 1, 2, 3, 4, 5, 6, 7, 8</t>
        </is>
      </c>
      <c r="L21" s="2" t="inlineStr">
        <is>
          <t>data/stage3_qr_extrapolation_a0.1_w15_fixed_snr.npz:frac_any[N_e=50]</t>
        </is>
      </c>
      <c r="M21" s="2" t="inlineStr">
        <is>
          <t>share of cycles where at least one component of the observation fell outside the min-max envelope of h over forecast members, N_e=50, alpha=0.1, per run. 9 runs, not the 3 thesis seeds, so mean and SD are literal here: 91.4414, 97.4474, 70.5706, 95.0450, 91.7417, 49.0991, 98.4985, 95.9459, 58.1081</t>
        </is>
      </c>
    </row>
    <row r="22">
      <c r="C22" s="2" t="inlineStr">
        <is>
          <t>4.3.1</t>
        </is>
      </c>
      <c r="D22" s="2" t="inlineStr">
        <is>
          <t>extrapolation number Ne = 100</t>
        </is>
      </c>
      <c r="H22" s="3" t="n">
        <v>80.21354688021356</v>
      </c>
      <c r="I22" s="3" t="n">
        <v>9.954676895237991</v>
      </c>
      <c r="J22" s="2" t="inlineStr">
        <is>
          <t>% of cycles</t>
        </is>
      </c>
      <c r="K22" s="2" t="inlineStr">
        <is>
          <t>0, 1, 2, 3, 4, 5, 6, 7, 8</t>
        </is>
      </c>
      <c r="L22" s="2" t="inlineStr">
        <is>
          <t>data/stage3_qr_extrapolation_a0.1_w15_fixed_snr.npz:frac_any[N_e=100]</t>
        </is>
      </c>
      <c r="M22" s="2" t="inlineStr">
        <is>
          <t>share of cycles where at least one component of the observation fell outside the min-max envelope of h over forecast members, N_e=100, alpha=0.1, per run. 9 runs, not the 3 thesis seeds, so mean and SD are literal here: 82.8829, 85.5856, 83.1832, 81.6817, 82.4324, 54.2042, 85.7357, 80.1802, 86.0360</t>
        </is>
      </c>
    </row>
    <row r="23">
      <c r="C23" s="2" t="inlineStr">
        <is>
          <t>4.3.1</t>
        </is>
      </c>
      <c r="D23" s="2" t="inlineStr">
        <is>
          <t>extrapolation number Ne = 200</t>
        </is>
      </c>
      <c r="H23" s="3" t="n">
        <v>76.24290957624291</v>
      </c>
      <c r="I23" s="3" t="n">
        <v>3.231524416953193</v>
      </c>
      <c r="J23" s="2" t="inlineStr">
        <is>
          <t>% of cycles</t>
        </is>
      </c>
      <c r="K23" s="2" t="inlineStr">
        <is>
          <t>0, 1, 2, 3, 4, 5, 6, 7, 8</t>
        </is>
      </c>
      <c r="L23" s="2" t="inlineStr">
        <is>
          <t>data/stage3_qr_extrapolation_a0.1_w15_fixed_snr.npz:frac_any[N_e=200]</t>
        </is>
      </c>
      <c r="M23" s="2" t="inlineStr">
        <is>
          <t>share of cycles where at least one component of the observation fell outside the min-max envelope of h over forecast members, N_e=200, alpha=0.1, per run. 9 runs, not the 3 thesis seeds, so mean and SD are literal here: 75.3754, 80.1802, 76.2763, 74.3243, 73.7237, 73.2733, 75.9760, 74.1742, 82.8829</t>
        </is>
      </c>
    </row>
    <row r="24">
      <c r="C24" s="2" t="inlineStr">
        <is>
          <t>4.3.1</t>
        </is>
      </c>
      <c r="D24" s="2" t="inlineStr">
        <is>
          <t>extrapolation number Ne = 500</t>
        </is>
      </c>
      <c r="H24" s="3" t="n">
        <v>68.86886886886886</v>
      </c>
      <c r="I24" s="3" t="n">
        <v>2.687016541767761</v>
      </c>
      <c r="J24" s="2" t="inlineStr">
        <is>
          <t>% of cycles</t>
        </is>
      </c>
      <c r="K24" s="2" t="inlineStr">
        <is>
          <t>0, 1, 2, 3, 4, 5, 6, 7, 8</t>
        </is>
      </c>
      <c r="L24" s="2" t="inlineStr">
        <is>
          <t>data/stage3_qr_extrapolation_a0.1_w15_fixed_snr.npz:frac_any[N_e=500]</t>
        </is>
      </c>
      <c r="M24" s="2" t="inlineStr">
        <is>
          <t>share of cycles where at least one component of the observation fell outside the min-max envelope of h over forecast members, N_e=500, alpha=0.1, per run. 9 runs, not the 3 thesis seeds, so mean and SD are literal here: 70.7207, 68.3183, 68.1682, 66.2162, 66.2162, 66.3664, 70.7207, 68.7688, 74.3243</t>
        </is>
      </c>
    </row>
    <row r="25">
      <c r="C25" s="2" t="inlineStr">
        <is>
          <t>4.3.1</t>
        </is>
      </c>
      <c r="D25" s="2" t="inlineStr">
        <is>
          <t>extrapolation number Ne = 1000</t>
        </is>
      </c>
      <c r="H25" s="3" t="n">
        <v>63.71371371371371</v>
      </c>
      <c r="I25" s="3" t="n">
        <v>2.170695539759903</v>
      </c>
      <c r="J25" s="2" t="inlineStr">
        <is>
          <t>% of cycles</t>
        </is>
      </c>
      <c r="K25" s="2" t="inlineStr">
        <is>
          <t>0, 1, 2, 3, 4, 5, 6, 7, 8</t>
        </is>
      </c>
      <c r="L25" s="2" t="inlineStr">
        <is>
          <t>data/stage3_qr_extrapolation_a0.1_w15_fixed_snr.npz:frac_any[N_e=1000]</t>
        </is>
      </c>
      <c r="M25" s="2" t="inlineStr">
        <is>
          <t>share of cycles where at least one component of the observation fell outside the min-max envelope of h over forecast members, N_e=1000, alpha=0.1, per run. 9 runs, not the 3 thesis seeds, so mean and SD are literal here: 66.3664, 62.7628, 63.5135, 63.0631, 62.3123, 62.7628, 61.7117, 62.6126, 68.3183</t>
        </is>
      </c>
    </row>
    <row r="26">
      <c r="C26" s="2" t="inlineStr">
        <is>
          <t>4.3.2</t>
        </is>
      </c>
      <c r="D26" s="2" t="inlineStr">
        <is>
          <t>IEnKF Jensen bias reduction as % of EnKF</t>
        </is>
      </c>
      <c r="E26" s="3" t="n">
        <v>76.58956681838599</v>
      </c>
      <c r="F26" s="3" t="n">
        <v>74.12562109325339</v>
      </c>
      <c r="G26" s="3" t="n">
        <v>79.84833710970008</v>
      </c>
      <c r="H26" s="3">
        <f>AVERAGE(E26:G26)</f>
        <v/>
      </c>
      <c r="I26" s="3">
        <f>_xlfn.STDEV.S(E26:G26)</f>
        <v/>
      </c>
      <c r="J26" s="2" t="inlineStr">
        <is>
          <t>%</t>
        </is>
      </c>
      <c r="K26" s="2" t="inlineStr">
        <is>
          <t>0, 1, 2</t>
        </is>
      </c>
      <c r="L26" s="2" t="inlineStr">
        <is>
          <t>data/stage2_results_w15_fixed_snr_variable.npz:(jensen_by_seed - jensen_ie_by_seed)/jensen_by_seed</t>
        </is>
      </c>
      <c r="M26" s="2" t="inlineStr">
        <is>
          <t>IEnKF Jensen bias: reduction vs the standard EnKF at the same alpha, mean over alpha &gt; 0 within each seed (alpha=0 excluded, the bias is identically zero there)</t>
        </is>
      </c>
    </row>
    <row r="27">
      <c r="C27" s="2" t="inlineStr">
        <is>
          <t>4.3.2</t>
        </is>
      </c>
      <c r="D27" s="2" t="inlineStr">
        <is>
          <t>IEnKF cross-cov error reduction as % of EnKF</t>
        </is>
      </c>
      <c r="E27" s="3" t="n">
        <v>71.19318577145923</v>
      </c>
      <c r="F27" s="3" t="n">
        <v>73.67919527012529</v>
      </c>
      <c r="G27" s="3" t="n">
        <v>72.73476842139142</v>
      </c>
      <c r="H27" s="3">
        <f>AVERAGE(E27:G27)</f>
        <v/>
      </c>
      <c r="I27" s="3">
        <f>_xlfn.STDEV.S(E27:G27)</f>
        <v/>
      </c>
      <c r="J27" s="2" t="inlineStr">
        <is>
          <t>%</t>
        </is>
      </c>
      <c r="K27" s="2" t="inlineStr">
        <is>
          <t>0, 1, 2</t>
        </is>
      </c>
      <c r="L27" s="2" t="inlineStr">
        <is>
          <t>data/stage2_results_w15_fixed_snr_variable.npz:(crosscov_by_seed - crosscov_ie_by_seed)/crosscov_by_seed</t>
        </is>
      </c>
      <c r="M27" s="2" t="inlineStr">
        <is>
          <t>IEnKF cross-covariance error: reduction vs the standard EnKF at the same alpha, mean over alpha &gt; 0 within each seed (alpha=0 excluded, the bias is identically zero there)</t>
        </is>
      </c>
    </row>
    <row r="28">
      <c r="C28" s="2" t="inlineStr">
        <is>
          <t>4.3.2</t>
        </is>
      </c>
      <c r="D28" s="2" t="inlineStr">
        <is>
          <t>IEnKF average calibration ratio (after a &gt;= 0.3)</t>
        </is>
      </c>
      <c r="E28" s="3" t="n">
        <v>0.4121143327040428</v>
      </c>
      <c r="F28" s="3" t="n">
        <v>0.3920203165335763</v>
      </c>
      <c r="G28" s="3" t="n">
        <v>0.3684312557596883</v>
      </c>
      <c r="H28" s="3">
        <f>AVERAGE(E28:G28)</f>
        <v/>
      </c>
      <c r="I28" s="3">
        <f>_xlfn.STDEV.S(E28:G28)</f>
        <v/>
      </c>
      <c r="J28" s="2" t="inlineStr">
        <is>
          <t>spread/RMSE</t>
        </is>
      </c>
      <c r="K28" s="2" t="inlineStr">
        <is>
          <t>0, 1, 2</t>
        </is>
      </c>
      <c r="L28" s="2" t="inlineStr">
        <is>
          <t>data/stage2_results_w15_fixed_snr_variable.npz:ie_ratio_by_seed</t>
        </is>
      </c>
      <c r="M28" s="2" t="inlineStr">
        <is>
          <t>IEnKF calibration ratio: mean over alpha &gt;= 0.3 within each seed, then the seed columns</t>
        </is>
      </c>
    </row>
    <row r="29">
      <c r="C29" s="2" t="inlineStr">
        <is>
          <t>4.3.2</t>
        </is>
      </c>
      <c r="D29" s="2" t="inlineStr">
        <is>
          <t>EnKF calibration ratio at avg once a &gt;= 0.3</t>
        </is>
      </c>
      <c r="E29" s="3" t="n">
        <v>0.7847496309293515</v>
      </c>
      <c r="F29" s="3" t="n">
        <v>0.7157682883152827</v>
      </c>
      <c r="G29" s="3" t="n">
        <v>0.8114407265541852</v>
      </c>
      <c r="H29" s="3">
        <f>AVERAGE(E29:G29)</f>
        <v/>
      </c>
      <c r="I29" s="3">
        <f>_xlfn.STDEV.S(E29:G29)</f>
        <v/>
      </c>
      <c r="J29" s="2" t="inlineStr">
        <is>
          <t>spread/RMSE</t>
        </is>
      </c>
      <c r="K29" s="2" t="inlineStr">
        <is>
          <t>0, 1, 2</t>
        </is>
      </c>
      <c r="L29" s="2" t="inlineStr">
        <is>
          <t>data/stage2_results_w15_fixed_snr_variable.npz:en_ratio_by_seed</t>
        </is>
      </c>
      <c r="M29" s="2" t="inlineStr">
        <is>
          <t>EnKF calibration ratio: mean over alpha &gt;= 0.3 within each seed, then the seed columns</t>
        </is>
      </c>
    </row>
    <row r="30">
      <c r="C30" s="2" t="inlineStr">
        <is>
          <t>4.3.2</t>
        </is>
      </c>
      <c r="D30" s="2" t="inlineStr">
        <is>
          <t>IEnKF forecast variance below EnKF (mean over a &gt;= 0.3)</t>
        </is>
      </c>
      <c r="E30" s="3" t="n">
        <v>82.35135003509092</v>
      </c>
      <c r="F30" s="3" t="n">
        <v>81.37866831946685</v>
      </c>
      <c r="G30" s="3" t="n">
        <v>84.67511200373636</v>
      </c>
      <c r="H30" s="3">
        <f>AVERAGE(E30:G30)</f>
        <v/>
      </c>
      <c r="I30" s="3">
        <f>_xlfn.STDEV.S(E30:G30)</f>
        <v/>
      </c>
      <c r="J30" s="2" t="inlineStr">
        <is>
          <t>%</t>
        </is>
      </c>
      <c r="K30" s="2" t="inlineStr">
        <is>
          <t>0, 1, 2</t>
        </is>
      </c>
      <c r="L30" s="2" t="inlineStr">
        <is>
          <t>data/stage2_results_w15_fixed_snr_variable.npz:(en_fcvar_by_seed - ie_fcvar_by_seed)/en_fcvar_by_seed</t>
        </is>
      </c>
      <c r="M30" s="2" t="inlineStr">
        <is>
          <t>IEnKF forecast variance: reduction vs the standard EnKF at the same alpha, mean over alpha &gt;= 0.3 within each seed</t>
        </is>
      </c>
    </row>
    <row r="31">
      <c r="C31" s="2" t="inlineStr">
        <is>
          <t>4.3.2</t>
        </is>
      </c>
      <c r="D31" s="2" t="inlineStr">
        <is>
          <t>IEnKF forecast variance fall from its own a=0 value (a &gt;= 0.3)</t>
        </is>
      </c>
      <c r="E31" s="3" t="n">
        <v>-58.83244770170327</v>
      </c>
      <c r="F31" s="3" t="n">
        <v>-89.34336989461512</v>
      </c>
      <c r="G31" s="3" t="n">
        <v>-38.84275237095227</v>
      </c>
      <c r="H31" s="3">
        <f>AVERAGE(E31:G31)</f>
        <v/>
      </c>
      <c r="I31" s="3">
        <f>_xlfn.STDEV.S(E31:G31)</f>
        <v/>
      </c>
      <c r="J31" s="2" t="inlineStr">
        <is>
          <t>%</t>
        </is>
      </c>
      <c r="K31" s="2" t="inlineStr">
        <is>
          <t>0, 1, 2</t>
        </is>
      </c>
      <c r="L31" s="2" t="inlineStr">
        <is>
          <t>data/stage2_results_w15_fixed_snr_variable.npz:ie_fcvar_by_seed</t>
        </is>
      </c>
      <c r="M31" s="2" t="inlineStr">
        <is>
          <t>IEnKF forecast variance: fall from the alpha=0 value to the mean over alpha &gt;= 0.3, within each seed, as a percentage of the alpha=0 value</t>
        </is>
      </c>
    </row>
    <row r="32">
      <c r="C32" s="2" t="inlineStr">
        <is>
          <t>4.3.2</t>
        </is>
      </c>
      <c r="D32" s="2" t="inlineStr">
        <is>
          <t>IEnKF excess above EnKF - count of alpha tested</t>
        </is>
      </c>
      <c r="E32" s="3" t="n">
        <v>6</v>
      </c>
      <c r="F32" s="3" t="n">
        <v>6</v>
      </c>
      <c r="G32" s="3" t="n">
        <v>10</v>
      </c>
      <c r="H32" s="3">
        <f>AVERAGE(E32:G32)</f>
        <v/>
      </c>
      <c r="I32" s="3">
        <f>_xlfn.STDEV.S(E32:G32)</f>
        <v/>
      </c>
      <c r="J32" s="2" t="inlineStr">
        <is>
          <t>alphas (of 11)</t>
        </is>
      </c>
      <c r="K32" s="2" t="inlineStr">
        <is>
          <t>0, 1, 2</t>
        </is>
      </c>
      <c r="L32" s="2" t="inlineStr">
        <is>
          <t>data/stage2_results_w15_fixed_snr_variable.npz:excess_ie_by_seed &gt; excess_by_seed</t>
        </is>
      </c>
      <c r="M32" s="2" t="inlineStr">
        <is>
          <t>count of alpha where IEnKF RMSE excess over PF &gt; standard EnKF RMSE excess over PF, within each seed. On the seed-MEAN curves, which is what the figure plots, the count is 10 of 11, at alpha = 0, 0.1, 0.2, 0.3, 0.4, 0.5, 0.6, 0.7, 0.9, 1. Per seed: seed 0: 0, 0.1, 0.2, 0.3, 0.4, 0.5; seed 1: 0, 0.1, 0.2, 0.3, 0.7, 0.9; seed 2: 0.1, 0.2, 0.3, 0.4, 0.5, 0.6, 0.7, 0.8, 0.9, 1</t>
        </is>
      </c>
    </row>
    <row r="33">
      <c r="C33" s="2" t="inlineStr">
        <is>
          <t>4.3.2</t>
        </is>
      </c>
      <c r="D33" s="2" t="inlineStr">
        <is>
          <t>IEnKF RMSE excess increased pp a = 0.5</t>
        </is>
      </c>
      <c r="E33" s="3" t="n">
        <v>120.8253546918463</v>
      </c>
      <c r="F33" s="3" t="n">
        <v>-41.38435062591032</v>
      </c>
      <c r="G33" s="3" t="n">
        <v>177.5227709094792</v>
      </c>
      <c r="H33" s="3">
        <f>AVERAGE(E33:G33)</f>
        <v/>
      </c>
      <c r="I33" s="3">
        <f>_xlfn.STDEV.S(E33:G33)</f>
        <v/>
      </c>
      <c r="J33" s="2" t="inlineStr">
        <is>
          <t>pp</t>
        </is>
      </c>
      <c r="K33" s="2" t="inlineStr">
        <is>
          <t>0, 1, 2</t>
        </is>
      </c>
      <c r="L33" s="2" t="inlineStr">
        <is>
          <t>data/stage2_results_w15_fixed_snr_variable.npz:excess_ie_by_seed - excess_by_seed [alpha=0.5]</t>
        </is>
      </c>
      <c r="M33" s="2" t="inlineStr">
        <is>
          <t>IEnKF excess minus EnKF excess (positive = IEnKF worse) at alpha=0.5, formed inside each seed</t>
        </is>
      </c>
    </row>
    <row r="34">
      <c r="C34" s="2" t="inlineStr">
        <is>
          <t>4.3.2</t>
        </is>
      </c>
      <c r="D34" s="2" t="inlineStr">
        <is>
          <t>IEnKF RMSE excess reduced pp a = 0.8</t>
        </is>
      </c>
      <c r="E34" s="3" t="n">
        <v>87.90906568831878</v>
      </c>
      <c r="F34" s="3" t="n">
        <v>100.5458380297959</v>
      </c>
      <c r="G34" s="3" t="n">
        <v>-37.86874056656092</v>
      </c>
      <c r="H34" s="3">
        <f>AVERAGE(E34:G34)</f>
        <v/>
      </c>
      <c r="I34" s="3">
        <f>_xlfn.STDEV.S(E34:G34)</f>
        <v/>
      </c>
      <c r="J34" s="2" t="inlineStr">
        <is>
          <t>pp</t>
        </is>
      </c>
      <c r="K34" s="2" t="inlineStr">
        <is>
          <t>0, 1, 2</t>
        </is>
      </c>
      <c r="L34" s="2" t="inlineStr">
        <is>
          <t>data/stage2_results_w15_fixed_snr_variable.npz:excess_by_seed - excess_ie_by_seed [alpha=0.8]</t>
        </is>
      </c>
      <c r="M34" s="2" t="inlineStr">
        <is>
          <t>EnKF excess minus IEnKF excess (positive = IEnKF better) at alpha=0.8, formed inside each seed</t>
        </is>
      </c>
    </row>
    <row r="35">
      <c r="C35" s="2" t="inlineStr">
        <is>
          <t>4.3.3</t>
        </is>
      </c>
      <c r="D35" s="2" t="inlineStr">
        <is>
          <t>IEnKF RMSE during lock-on - median</t>
        </is>
      </c>
      <c r="E35" s="3" t="n">
        <v>10.8570305663413</v>
      </c>
      <c r="F35" s="3" t="n">
        <v>10.46987126482338</v>
      </c>
      <c r="G35" s="3" t="n">
        <v>10.30832546693967</v>
      </c>
      <c r="H35" s="3">
        <f>AVERAGE(E35:G35)</f>
        <v/>
      </c>
      <c r="I35" s="3">
        <f>_xlfn.STDEV.S(E35:G35)</f>
        <v/>
      </c>
      <c r="J35" s="2" t="inlineStr">
        <is>
          <t>-</t>
        </is>
      </c>
      <c r="K35" s="2" t="inlineStr">
        <is>
          <t>0, 1, 2</t>
        </is>
      </c>
      <c r="L35" s="2" t="inlineStr">
        <is>
          <t>data/stage3_ienkf_seeds_a0.5_w15_fixed_snr.npz:err_lock_med_by_seed</t>
        </is>
      </c>
      <c r="M35" s="2" t="inlineStr">
        <is>
          <t>median per-cycle RMS error inside the lock-on episodes at alpha=0.5, per seed, own observations per seed</t>
        </is>
      </c>
    </row>
    <row r="36">
      <c r="C36" s="2" t="inlineStr">
        <is>
          <t>4.3.3</t>
        </is>
      </c>
      <c r="D36" s="2" t="inlineStr">
        <is>
          <t>IEnKF RMSE during lock-on - peak</t>
        </is>
      </c>
      <c r="E36" s="3" t="n">
        <v>33.37520956960901</v>
      </c>
      <c r="F36" s="3" t="n">
        <v>30.7598895944525</v>
      </c>
      <c r="G36" s="3" t="n">
        <v>29.86849632835338</v>
      </c>
      <c r="H36" s="3">
        <f>AVERAGE(E36:G36)</f>
        <v/>
      </c>
      <c r="I36" s="3">
        <f>_xlfn.STDEV.S(E36:G36)</f>
        <v/>
      </c>
      <c r="J36" s="2" t="inlineStr">
        <is>
          <t>-</t>
        </is>
      </c>
      <c r="K36" s="2" t="inlineStr">
        <is>
          <t>0, 1, 2</t>
        </is>
      </c>
      <c r="L36" s="2" t="inlineStr">
        <is>
          <t>data/stage3_ienkf_seeds_a0.5_w15_fixed_snr.npz:err_lock_max_by_seed</t>
        </is>
      </c>
      <c r="M36" s="2" t="inlineStr">
        <is>
          <t>largest per-cycle RMS error inside the lock-on episodes at alpha=0.5, per seed, own observations per seed</t>
        </is>
      </c>
    </row>
    <row r="37">
      <c r="C37" s="2" t="inlineStr">
        <is>
          <t>4.3.3</t>
        </is>
      </c>
      <c r="D37" s="2" t="inlineStr">
        <is>
          <t>IEnKF RMSE outside lock-on - median</t>
        </is>
      </c>
      <c r="E37" s="3" t="n">
        <v>0.4245940703729939</v>
      </c>
      <c r="F37" s="3" t="n">
        <v>0.4418084315968108</v>
      </c>
      <c r="G37" s="3" t="n">
        <v>0.4481704152263791</v>
      </c>
      <c r="H37" s="3">
        <f>AVERAGE(E37:G37)</f>
        <v/>
      </c>
      <c r="I37" s="3">
        <f>_xlfn.STDEV.S(E37:G37)</f>
        <v/>
      </c>
      <c r="J37" s="2" t="inlineStr">
        <is>
          <t>-</t>
        </is>
      </c>
      <c r="K37" s="2" t="inlineStr">
        <is>
          <t>0, 1, 2</t>
        </is>
      </c>
      <c r="L37" s="2" t="inlineStr">
        <is>
          <t>data/stage3_ienkf_seeds_a0.5_w15_fixed_snr.npz:err_free_med_by_seed</t>
        </is>
      </c>
      <c r="M37" s="2" t="inlineStr">
        <is>
          <t>median per-cycle RMS error outside the lock-on episodes at alpha=0.5, per seed, own observations per seed</t>
        </is>
      </c>
    </row>
    <row r="38">
      <c r="C38" s="2" t="inlineStr">
        <is>
          <t>4.3.3</t>
        </is>
      </c>
      <c r="D38" s="2" t="inlineStr">
        <is>
          <t>IEnKF spread during lock-on - median</t>
        </is>
      </c>
      <c r="E38" s="3" t="n">
        <v>0.5026943526260087</v>
      </c>
      <c r="F38" s="3" t="n">
        <v>0.5603930323331099</v>
      </c>
      <c r="G38" s="3" t="n">
        <v>0.6120792684124501</v>
      </c>
      <c r="H38" s="3">
        <f>AVERAGE(E38:G38)</f>
        <v/>
      </c>
      <c r="I38" s="3">
        <f>_xlfn.STDEV.S(E38:G38)</f>
        <v/>
      </c>
      <c r="J38" s="2" t="inlineStr">
        <is>
          <t>-</t>
        </is>
      </c>
      <c r="K38" s="2" t="inlineStr">
        <is>
          <t>0, 1, 2</t>
        </is>
      </c>
      <c r="L38" s="2" t="inlineStr">
        <is>
          <t>data/stage3_ienkf_seeds_a0.5_w15_fixed_snr.npz:spread_lock_med_by_seed</t>
        </is>
      </c>
      <c r="M38" s="2" t="inlineStr">
        <is>
          <t>median per-cycle spread inside the lock-on episodes at alpha=0.5, per seed, own observations per seed</t>
        </is>
      </c>
    </row>
    <row r="39">
      <c r="C39" s="2" t="inlineStr">
        <is>
          <t>4.3.3</t>
        </is>
      </c>
      <c r="D39" s="2" t="inlineStr">
        <is>
          <t>IEnKF spread outside lock-on - median</t>
        </is>
      </c>
      <c r="E39" s="3" t="n">
        <v>0.5919048480139519</v>
      </c>
      <c r="F39" s="3" t="n">
        <v>0.5622760348490248</v>
      </c>
      <c r="G39" s="3" t="n">
        <v>0.5646853557053412</v>
      </c>
      <c r="H39" s="3">
        <f>AVERAGE(E39:G39)</f>
        <v/>
      </c>
      <c r="I39" s="3">
        <f>_xlfn.STDEV.S(E39:G39)</f>
        <v/>
      </c>
      <c r="J39" s="2" t="inlineStr">
        <is>
          <t>-</t>
        </is>
      </c>
      <c r="K39" s="2" t="inlineStr">
        <is>
          <t>0, 1, 2</t>
        </is>
      </c>
      <c r="L39" s="2" t="inlineStr">
        <is>
          <t>data/stage3_ienkf_seeds_a0.5_w15_fixed_snr.npz:spread_free_med_by_seed</t>
        </is>
      </c>
      <c r="M39" s="2" t="inlineStr">
        <is>
          <t>median per-cycle spread outside the lock-on episodes at alpha=0.5, per seed, own observations per seed</t>
        </is>
      </c>
    </row>
    <row r="40">
      <c r="C40" s="2" t="inlineStr">
        <is>
          <t>4.3.3</t>
        </is>
      </c>
      <c r="D40" s="2" t="inlineStr">
        <is>
          <t>straddle index &gt; 0.4 - occasions per run</t>
        </is>
      </c>
      <c r="E40" s="3" t="n">
        <v>14</v>
      </c>
      <c r="F40" s="3" t="n">
        <v>16</v>
      </c>
      <c r="G40" s="3" t="n">
        <v>14</v>
      </c>
      <c r="H40" s="3">
        <f>AVERAGE(E40:G40)</f>
        <v/>
      </c>
      <c r="I40" s="3">
        <f>_xlfn.STDEV.S(E40:G40)</f>
        <v/>
      </c>
      <c r="J40" s="2" t="inlineStr">
        <is>
          <t>episodes</t>
        </is>
      </c>
      <c r="K40" s="2" t="inlineStr">
        <is>
          <t>0, 1, 2</t>
        </is>
      </c>
      <c r="L40" s="2" t="inlineStr">
        <is>
          <t>data/stage3_ienkf_seeds_a0.5_w15_fixed_snr.npz:n_strad_episodes_by_seed</t>
        </is>
      </c>
      <c r="M40" s="2" t="inlineStr">
        <is>
          <t>contiguous episodes with straddle index above the threshold at alpha=0.5, per seed, own observations per seed</t>
        </is>
      </c>
    </row>
    <row r="41">
      <c r="C41" s="2" t="inlineStr">
        <is>
          <t>4.3.3</t>
        </is>
      </c>
      <c r="D41" s="2" t="inlineStr">
        <is>
          <t>straddle index &gt; 0.4 - cycles per run</t>
        </is>
      </c>
      <c r="E41" s="3" t="n">
        <v>14</v>
      </c>
      <c r="F41" s="3" t="n">
        <v>17</v>
      </c>
      <c r="G41" s="3" t="n">
        <v>15</v>
      </c>
      <c r="H41" s="3">
        <f>AVERAGE(E41:G41)</f>
        <v/>
      </c>
      <c r="I41" s="3">
        <f>_xlfn.STDEV.S(E41:G41)</f>
        <v/>
      </c>
      <c r="J41" s="2" t="inlineStr">
        <is>
          <t>cycles</t>
        </is>
      </c>
      <c r="K41" s="2" t="inlineStr">
        <is>
          <t>0, 1, 2</t>
        </is>
      </c>
      <c r="L41" s="2" t="inlineStr">
        <is>
          <t>data/stage3_ienkf_seeds_a0.5_w15_fixed_snr.npz:n_strad_cycles_by_seed</t>
        </is>
      </c>
      <c r="M41" s="2" t="inlineStr">
        <is>
          <t>cycles with straddle index above the threshold at alpha=0.5, per seed, own observations per seed</t>
        </is>
      </c>
    </row>
    <row r="42">
      <c r="C42" s="2" t="inlineStr">
        <is>
          <t>4.3.3</t>
        </is>
      </c>
      <c r="D42" s="2" t="inlineStr">
        <is>
          <t>lock-on - episodes per run</t>
        </is>
      </c>
      <c r="E42" s="3" t="n">
        <v>5</v>
      </c>
      <c r="F42" s="3" t="n">
        <v>7</v>
      </c>
      <c r="G42" s="3" t="n">
        <v>9</v>
      </c>
      <c r="H42" s="3">
        <f>AVERAGE(E42:G42)</f>
        <v/>
      </c>
      <c r="I42" s="3">
        <f>_xlfn.STDEV.S(E42:G42)</f>
        <v/>
      </c>
      <c r="J42" s="2" t="inlineStr">
        <is>
          <t>episodes</t>
        </is>
      </c>
      <c r="K42" s="2" t="inlineStr">
        <is>
          <t>0, 1, 2</t>
        </is>
      </c>
      <c r="L42" s="2" t="inlineStr">
        <is>
          <t>data/stage3_ienkf_seeds_a0.5_w15_fixed_snr.npz:n_lock_episodes_by_seed</t>
        </is>
      </c>
      <c r="M42" s="2" t="inlineStr">
        <is>
          <t>sustained wrong-lobe episodes at alpha=0.5, per seed, own observations per seed</t>
        </is>
      </c>
    </row>
    <row r="43">
      <c r="C43" s="2" t="inlineStr">
        <is>
          <t>4.3.3</t>
        </is>
      </c>
      <c r="D43" s="2" t="inlineStr">
        <is>
          <t>lock-on - % of the run spent locked on</t>
        </is>
      </c>
      <c r="E43" s="3" t="n">
        <v>18.31831831831832</v>
      </c>
      <c r="F43" s="3" t="n">
        <v>20.42042042042042</v>
      </c>
      <c r="G43" s="3" t="n">
        <v>24.17417417417417</v>
      </c>
      <c r="H43" s="3">
        <f>AVERAGE(E43:G43)</f>
        <v/>
      </c>
      <c r="I43" s="3">
        <f>_xlfn.STDEV.S(E43:G43)</f>
        <v/>
      </c>
      <c r="J43" s="2" t="inlineStr">
        <is>
          <t>% of cycles</t>
        </is>
      </c>
      <c r="K43" s="2" t="inlineStr">
        <is>
          <t>0, 1, 2</t>
        </is>
      </c>
      <c r="L43" s="2" t="inlineStr">
        <is>
          <t>data/stage3_ienkf_seeds_a0.5_w15_fixed_snr.npz:frac_lock_by_seed</t>
        </is>
      </c>
      <c r="M43" s="2" t="inlineStr">
        <is>
          <t>share of cycles inside a lock-on episode at alpha=0.5, per seed, own observations per seed</t>
        </is>
      </c>
    </row>
    <row r="44">
      <c r="C44" s="2" t="inlineStr">
        <is>
          <t>4.3.4</t>
        </is>
      </c>
      <c r="D44" s="2" t="inlineStr">
        <is>
          <t>QR-EnKF excess removed - max over the sweep</t>
        </is>
      </c>
      <c r="E44" s="3" t="n">
        <v>202.6933398695428</v>
      </c>
      <c r="F44" s="3" t="n">
        <v>312.7902288987783</v>
      </c>
      <c r="G44" s="3" t="n">
        <v>144.2116958960939</v>
      </c>
      <c r="H44" s="3">
        <f>AVERAGE(E44:G44)</f>
        <v/>
      </c>
      <c r="I44" s="3">
        <f>_xlfn.STDEV.S(E44:G44)</f>
        <v/>
      </c>
      <c r="J44" s="2" t="inlineStr">
        <is>
          <t>pp</t>
        </is>
      </c>
      <c r="K44" s="2" t="inlineStr">
        <is>
          <t>0, 1, 2</t>
        </is>
      </c>
      <c r="L44" s="2" t="inlineStr">
        <is>
          <t>data/stage2_results_w15_fixed_snr_variable.npz:excess_by_seed - excess_qr_by_seed [alpha=0.8]</t>
        </is>
      </c>
      <c r="M44" s="2" t="inlineStr">
        <is>
          <t>EnKF excess minus QR-EnKF excess; alpha=0.8 is the argmax of the seed-mean curve, and the seed columns are the per-seed values there</t>
        </is>
      </c>
    </row>
    <row r="45">
      <c r="C45" s="2" t="inlineStr">
        <is>
          <t>4.4.1</t>
        </is>
      </c>
      <c r="D45" s="2" t="inlineStr">
        <is>
          <t>shadow x corr at a = 0</t>
        </is>
      </c>
      <c r="E45" s="3" t="n">
        <v>0.07178128152404051</v>
      </c>
      <c r="F45" s="3" t="n">
        <v>0.08256280864075552</v>
      </c>
      <c r="G45" s="3" t="n">
        <v>0.0469638741823877</v>
      </c>
      <c r="H45" s="3">
        <f>AVERAGE(E45:G45)</f>
        <v/>
      </c>
      <c r="I45" s="3">
        <f>_xlfn.STDEV.S(E45:G45)</f>
        <v/>
      </c>
      <c r="J45" s="2" t="inlineStr">
        <is>
          <t>-</t>
        </is>
      </c>
      <c r="K45" s="2" t="inlineStr">
        <is>
          <t>0, 1, 2</t>
        </is>
      </c>
      <c r="L45" s="2" t="inlineStr">
        <is>
          <t>data\stage4_shadow_a0.0.npz:target,pred</t>
        </is>
      </c>
      <c r="M45" s="2" t="inlineStr">
        <is>
          <t>corr(true residual, learnt prediction) in x, whole run, per seed</t>
        </is>
      </c>
    </row>
    <row r="46">
      <c r="C46" s="2" t="inlineStr">
        <is>
          <t>4.4.1</t>
        </is>
      </c>
      <c r="D46" s="2" t="inlineStr">
        <is>
          <t>shadow x corr at a = 0.8</t>
        </is>
      </c>
      <c r="E46" s="3" t="n">
        <v>0.5030528526011416</v>
      </c>
      <c r="F46" s="3" t="n">
        <v>0.6321553824268372</v>
      </c>
      <c r="G46" s="3" t="n">
        <v>0.5069733797974505</v>
      </c>
      <c r="H46" s="3">
        <f>AVERAGE(E46:G46)</f>
        <v/>
      </c>
      <c r="I46" s="3">
        <f>_xlfn.STDEV.S(E46:G46)</f>
        <v/>
      </c>
      <c r="J46" s="2" t="inlineStr">
        <is>
          <t>-</t>
        </is>
      </c>
      <c r="K46" s="2" t="inlineStr">
        <is>
          <t>0, 1, 2</t>
        </is>
      </c>
      <c r="L46" s="2" t="inlineStr">
        <is>
          <t>data\stage4_shadow_a0.8.npz:target,pred</t>
        </is>
      </c>
      <c r="M46" s="2" t="inlineStr">
        <is>
          <t>corr(true residual, learnt prediction) in x, whole run, per seed</t>
        </is>
      </c>
    </row>
    <row r="47">
      <c r="C47" s="2" t="inlineStr">
        <is>
          <t>4.4.1</t>
        </is>
      </c>
      <c r="D47" s="2" t="inlineStr">
        <is>
          <t>shadow removal excess a = 0.8</t>
        </is>
      </c>
      <c r="E47" s="3" t="n">
        <v>50.91889631335539</v>
      </c>
      <c r="F47" s="3" t="n">
        <v>118.7344080845821</v>
      </c>
      <c r="G47" s="3" t="n">
        <v>67.33821056179636</v>
      </c>
      <c r="H47" s="3">
        <f>AVERAGE(E47:G47)</f>
        <v/>
      </c>
      <c r="I47" s="3">
        <f>_xlfn.STDEV.S(E47:G47)</f>
        <v/>
      </c>
      <c r="J47" s="2" t="inlineStr">
        <is>
          <t>pp</t>
        </is>
      </c>
      <c r="K47" s="2" t="inlineStr">
        <is>
          <t>0, 1, 2</t>
        </is>
      </c>
      <c r="L47" s="2" t="inlineStr">
        <is>
          <t>data\stage4_shadow_a0.8.npz:xa_base,xa_corr,xpf_mean,truth</t>
        </is>
      </c>
      <c r="M47" s="2" t="inlineStr">
        <is>
          <t>baseline excess over PF minus corrected excess over PF, per seed; RMSE per component then averaged (rls_core.rmse_percomp)</t>
        </is>
      </c>
    </row>
    <row r="48">
      <c r="C48" s="2" t="inlineStr">
        <is>
          <t>4.4.1</t>
        </is>
      </c>
      <c r="D48" s="2" t="inlineStr">
        <is>
          <t>shadow removal excess a = 0</t>
        </is>
      </c>
      <c r="E48" s="3" t="n">
        <v>-2.08962707736557</v>
      </c>
      <c r="F48" s="3" t="n">
        <v>1.438885101497803</v>
      </c>
      <c r="G48" s="3" t="n">
        <v>0.1323838164770308</v>
      </c>
      <c r="H48" s="3">
        <f>AVERAGE(E48:G48)</f>
        <v/>
      </c>
      <c r="I48" s="3">
        <f>_xlfn.STDEV.S(E48:G48)</f>
        <v/>
      </c>
      <c r="J48" s="2" t="inlineStr">
        <is>
          <t>pp</t>
        </is>
      </c>
      <c r="K48" s="2" t="inlineStr">
        <is>
          <t>0, 1, 2</t>
        </is>
      </c>
      <c r="L48" s="2" t="inlineStr">
        <is>
          <t>data\stage4_shadow_a0.0.npz:xa_base,xa_corr,xpf_mean,truth</t>
        </is>
      </c>
      <c r="M48" s="2" t="inlineStr">
        <is>
          <t>baseline excess over PF minus corrected excess over PF, per seed; RMSE per component then averaged (rls_core.rmse_percomp)</t>
        </is>
      </c>
    </row>
    <row r="49">
      <c r="C49" s="2" t="inlineStr">
        <is>
          <t>4.4.1</t>
        </is>
      </c>
      <c r="D49" s="2" t="inlineStr">
        <is>
          <t>shadow z corr at a = 0.8</t>
        </is>
      </c>
      <c r="E49" s="3" t="n">
        <v>0.2384077232185953</v>
      </c>
      <c r="F49" s="3" t="n">
        <v>0.3919152894425212</v>
      </c>
      <c r="G49" s="3" t="n">
        <v>0.3579144855718604</v>
      </c>
      <c r="H49" s="3">
        <f>AVERAGE(E49:G49)</f>
        <v/>
      </c>
      <c r="I49" s="3">
        <f>_xlfn.STDEV.S(E49:G49)</f>
        <v/>
      </c>
      <c r="J49" s="2" t="inlineStr">
        <is>
          <t>-</t>
        </is>
      </c>
      <c r="K49" s="2" t="inlineStr">
        <is>
          <t>0, 1, 2</t>
        </is>
      </c>
      <c r="L49" s="2" t="inlineStr">
        <is>
          <t>data\stage4_shadow_a0.8.npz:target,pred</t>
        </is>
      </c>
      <c r="M49" s="2" t="inlineStr">
        <is>
          <t>corr(true residual, learnt prediction) in z, whole run, per seed</t>
        </is>
      </c>
    </row>
    <row r="50">
      <c r="C50" s="2" t="inlineStr">
        <is>
          <t>4.4.3</t>
        </is>
      </c>
      <c r="D50" s="2" t="inlineStr">
        <is>
          <t>blind shadow min removal a &gt;= 0.6</t>
        </is>
      </c>
      <c r="E50" s="3" t="n">
        <v>26.7464542327609</v>
      </c>
      <c r="F50" s="3" t="n">
        <v>59.98905579453941</v>
      </c>
      <c r="G50" s="3" t="n">
        <v>26.08141481715569</v>
      </c>
      <c r="H50" s="3">
        <f>AVERAGE(E50:G50)</f>
        <v/>
      </c>
      <c r="I50" s="3">
        <f>_xlfn.STDEV.S(E50:G50)</f>
        <v/>
      </c>
      <c r="J50" s="2" t="inlineStr">
        <is>
          <t>pp</t>
        </is>
      </c>
      <c r="K50" s="2" t="inlineStr">
        <is>
          <t>0, 1, 2</t>
        </is>
      </c>
      <c r="L50" s="2" t="inlineStr">
        <is>
          <t>data/stage4_blind_shadow_a{0.6,0.8,1}.npz</t>
        </is>
      </c>
      <c r="M50" s="2" t="inlineStr">
        <is>
          <t>minimum over alpha &gt;= 0.6 of the excess removed (pp), taken within each seed, so each column may come from a different alpha: seed 0 at alpha=1, seed 1 at alpha=1, seed 2 at alpha=1</t>
        </is>
      </c>
    </row>
    <row r="51">
      <c r="C51" s="2" t="inlineStr">
        <is>
          <t>4.4.3</t>
        </is>
      </c>
      <c r="D51" s="2" t="inlineStr">
        <is>
          <t>blind shadow max removal a &gt;= 0.6</t>
        </is>
      </c>
      <c r="E51" s="3" t="n">
        <v>65.83804578405091</v>
      </c>
      <c r="F51" s="3" t="n">
        <v>86.10380232557645</v>
      </c>
      <c r="G51" s="3" t="n">
        <v>64.08486442744294</v>
      </c>
      <c r="H51" s="3">
        <f>AVERAGE(E51:G51)</f>
        <v/>
      </c>
      <c r="I51" s="3">
        <f>_xlfn.STDEV.S(E51:G51)</f>
        <v/>
      </c>
      <c r="J51" s="2" t="inlineStr">
        <is>
          <t>pp</t>
        </is>
      </c>
      <c r="K51" s="2" t="inlineStr">
        <is>
          <t>0, 1, 2</t>
        </is>
      </c>
      <c r="L51" s="2" t="inlineStr">
        <is>
          <t>data/stage4_blind_shadow_a{0.6,0.8,1}.npz</t>
        </is>
      </c>
      <c r="M51" s="2" t="inlineStr">
        <is>
          <t>maximum over alpha &gt;= 0.6 of the excess removed (pp), taken within each seed, so each column may come from a different alpha: seed 0 at alpha=0.8, seed 1 at alpha=0.8, seed 2 at alpha=0.8</t>
        </is>
      </c>
    </row>
    <row r="52">
      <c r="C52" s="2" t="inlineStr">
        <is>
          <t>4.4.3</t>
        </is>
      </c>
      <c r="D52" s="2" t="inlineStr">
        <is>
          <t>blind shadow removal a = 0</t>
        </is>
      </c>
      <c r="E52" s="3" t="n">
        <v>1.097777123326452</v>
      </c>
      <c r="F52" s="3" t="n">
        <v>2.39645328387553</v>
      </c>
      <c r="G52" s="3" t="n">
        <v>1.029111598911257</v>
      </c>
      <c r="H52" s="3">
        <f>AVERAGE(E52:G52)</f>
        <v/>
      </c>
      <c r="I52" s="3">
        <f>_xlfn.STDEV.S(E52:G52)</f>
        <v/>
      </c>
      <c r="J52" s="2" t="inlineStr">
        <is>
          <t>pp</t>
        </is>
      </c>
      <c r="K52" s="2" t="inlineStr">
        <is>
          <t>0, 1, 2</t>
        </is>
      </c>
      <c r="L52" s="2" t="inlineStr">
        <is>
          <t>data\stage4_blind_shadow_a0.0.npz:xa_base,xa_corr,xpf_mean,truth</t>
        </is>
      </c>
      <c r="M52" s="2" t="inlineStr">
        <is>
          <t>baseline excess over PF minus corrected excess over PF, per seed; RMSE per component then averaged (rls_core.rmse_percomp)</t>
        </is>
      </c>
    </row>
    <row r="53">
      <c r="C53" s="2" t="inlineStr">
        <is>
          <t>4.4.6</t>
        </is>
      </c>
      <c r="D53" s="2" t="inlineStr">
        <is>
          <t>blind shadow max removal a &gt;= 0.6</t>
        </is>
      </c>
      <c r="E53" s="3" t="n">
        <v>65.83804578405091</v>
      </c>
      <c r="F53" s="3" t="n">
        <v>86.10380232557645</v>
      </c>
      <c r="G53" s="3" t="n">
        <v>64.08486442744294</v>
      </c>
      <c r="H53" s="3">
        <f>AVERAGE(E53:G53)</f>
        <v/>
      </c>
      <c r="I53" s="3">
        <f>_xlfn.STDEV.S(E53:G53)</f>
        <v/>
      </c>
      <c r="J53" s="2" t="inlineStr">
        <is>
          <t>pp</t>
        </is>
      </c>
      <c r="K53" s="2" t="inlineStr">
        <is>
          <t>0, 1, 2</t>
        </is>
      </c>
      <c r="L53" s="2" t="inlineStr">
        <is>
          <t>data/stage4_blind_shadow_a{0.6,0.8,1}.npz</t>
        </is>
      </c>
      <c r="M53" s="2" t="inlineStr">
        <is>
          <t>maximum over alpha &gt;= 0.6 of the excess removed (pp), taken within each seed, so each column may come from a different alpha: seed 0 at alpha=0.8, seed 1 at alpha=0.8, seed 2 at alpha=0.8</t>
        </is>
      </c>
    </row>
    <row r="54">
      <c r="C54" s="2" t="inlineStr">
        <is>
          <t>4.4.6</t>
        </is>
      </c>
      <c r="D54" s="2" t="inlineStr">
        <is>
          <t>QR-EnKF excess removed - max over the sweep</t>
        </is>
      </c>
      <c r="E54" s="3" t="n">
        <v>202.6933398695428</v>
      </c>
      <c r="F54" s="3" t="n">
        <v>312.7902288987783</v>
      </c>
      <c r="G54" s="3" t="n">
        <v>144.2116958960939</v>
      </c>
      <c r="H54" s="3">
        <f>AVERAGE(E54:G54)</f>
        <v/>
      </c>
      <c r="I54" s="3">
        <f>_xlfn.STDEV.S(E54:G54)</f>
        <v/>
      </c>
      <c r="J54" s="2" t="inlineStr">
        <is>
          <t>pp</t>
        </is>
      </c>
      <c r="K54" s="2" t="inlineStr">
        <is>
          <t>0, 1, 2</t>
        </is>
      </c>
      <c r="L54" s="2" t="inlineStr">
        <is>
          <t>data/stage2_results_w15_fixed_snr_variable.npz:excess_by_seed - excess_qr_by_seed [alpha=0.8]</t>
        </is>
      </c>
      <c r="M54" s="2" t="inlineStr">
        <is>
          <t>EnKF excess minus QR-EnKF excess; alpha=0.8 is the argmax of the seed-mean curve, and the seed columns are the per-seed values there</t>
        </is>
      </c>
    </row>
    <row r="55">
      <c r="C55" s="2" t="inlineStr">
        <is>
          <t>4.4.6</t>
        </is>
      </c>
      <c r="D55" s="2" t="inlineStr">
        <is>
          <t>shadow x corr at a = 0.8</t>
        </is>
      </c>
      <c r="E55" s="3" t="n">
        <v>0.5030528526011416</v>
      </c>
      <c r="F55" s="3" t="n">
        <v>0.6321553824268372</v>
      </c>
      <c r="G55" s="3" t="n">
        <v>0.5069733797974505</v>
      </c>
      <c r="H55" s="3">
        <f>AVERAGE(E55:G55)</f>
        <v/>
      </c>
      <c r="I55" s="3">
        <f>_xlfn.STDEV.S(E55:G55)</f>
        <v/>
      </c>
      <c r="J55" s="2" t="inlineStr">
        <is>
          <t>-</t>
        </is>
      </c>
      <c r="K55" s="2" t="inlineStr">
        <is>
          <t>0, 1, 2</t>
        </is>
      </c>
      <c r="L55" s="2" t="inlineStr">
        <is>
          <t>data\stage4_shadow_a0.8.npz:target,pred</t>
        </is>
      </c>
      <c r="M55" s="2" t="inlineStr">
        <is>
          <t>corr(true residual, learnt prediction) in x, whole run, per seed</t>
        </is>
      </c>
    </row>
    <row r="56">
      <c r="C56" s="4" t="inlineStr">
        <is>
          <t>4.5</t>
        </is>
      </c>
      <c r="D56" s="4" t="inlineStr">
        <is>
          <t>max min ess / N %</t>
        </is>
      </c>
      <c r="E56" s="5" t="n"/>
      <c r="F56" s="5" t="n"/>
      <c r="G56" s="5" t="n"/>
      <c r="H56" s="4" t="inlineStr">
        <is>
          <t>n/a</t>
        </is>
      </c>
      <c r="I56" s="4" t="inlineStr">
        <is>
          <t>n/a</t>
        </is>
      </c>
      <c r="J56" s="4" t="inlineStr">
        <is>
          <t>-</t>
        </is>
      </c>
      <c r="K56" s="4" t="inlineStr">
        <is>
          <t>-</t>
        </is>
      </c>
      <c r="L56" s="4" t="inlineStr">
        <is>
          <t>MISSING: no per-seed source. partfilt_l96.py's __main__ runs a single cfg.seed and saves data/l96_pf_ess.npz with no seed axis, so the three seed columns cannot be read from it. Add a cfg.seeds loop there, or fill this row by hand.</t>
        </is>
      </c>
      <c r="M56" s="4" t="inlineStr">
        <is>
          <t>maximum over the sweep of min(ESS)/N</t>
        </is>
      </c>
    </row>
    <row r="57">
      <c r="C57" s="4" t="inlineStr">
        <is>
          <t>4.5</t>
        </is>
      </c>
      <c r="D57" s="4" t="inlineStr">
        <is>
          <t>numbers of runs that sit cal ratio &lt; 0.05</t>
        </is>
      </c>
      <c r="E57" s="5" t="n"/>
      <c r="F57" s="5" t="n"/>
      <c r="G57" s="5" t="n"/>
      <c r="H57" s="4" t="inlineStr">
        <is>
          <t>n/a</t>
        </is>
      </c>
      <c r="I57" s="4" t="inlineStr">
        <is>
          <t>n/a</t>
        </is>
      </c>
      <c r="J57" s="4" t="inlineStr">
        <is>
          <t>-</t>
        </is>
      </c>
      <c r="K57" s="4" t="inlineStr">
        <is>
          <t>-</t>
        </is>
      </c>
      <c r="L57" s="4" t="inlineStr">
        <is>
          <t>MISSING: no per-seed source. partfilt_l96.py's __main__ runs a single cfg.seed and saves data/l96_pf_ess.npz with no seed axis, so the three seed columns cannot be read from it. Add a cfg.seeds loop there, or fill this row by hand.</t>
        </is>
      </c>
      <c r="M57" s="4" t="inlineStr">
        <is>
          <t>count of (n, N) runs with calibration ratio below 0.05</t>
        </is>
      </c>
    </row>
    <row r="58">
      <c r="C58" s="4" t="inlineStr">
        <is>
          <t>4.5</t>
        </is>
      </c>
      <c r="D58" s="4" t="inlineStr">
        <is>
          <t>notable 0.71 calibration ratio</t>
        </is>
      </c>
      <c r="E58" s="5" t="n"/>
      <c r="F58" s="5" t="n"/>
      <c r="G58" s="5" t="n"/>
      <c r="H58" s="4" t="inlineStr">
        <is>
          <t>n/a</t>
        </is>
      </c>
      <c r="I58" s="4" t="inlineStr">
        <is>
          <t>n/a</t>
        </is>
      </c>
      <c r="J58" s="4" t="inlineStr">
        <is>
          <t>-</t>
        </is>
      </c>
      <c r="K58" s="4" t="inlineStr">
        <is>
          <t>-</t>
        </is>
      </c>
      <c r="L58" s="4" t="inlineStr">
        <is>
          <t>MISSING: no per-seed source. partfilt_l96.py's __main__ runs a single cfg.seed and saves data/l96_pf_ess.npz with no seed axis, so the three seed columns cannot be read from it. Add a cfg.seeds loop there, or fill this row by hand.</t>
        </is>
      </c>
      <c r="M58" s="4" t="inlineStr">
        <is>
          <t>the run quoted at ratio 0.71</t>
        </is>
      </c>
    </row>
    <row r="59">
      <c r="C59" s="2" t="inlineStr">
        <is>
          <t>5.1</t>
        </is>
      </c>
      <c r="D59" s="2" t="inlineStr">
        <is>
          <t>EnKF RMSE excess (alpha = 0.8)</t>
        </is>
      </c>
      <c r="E59" s="3" t="n">
        <v>385.3080632973087</v>
      </c>
      <c r="F59" s="3" t="n">
        <v>506.6276741000508</v>
      </c>
      <c r="G59" s="3" t="n">
        <v>475.4115307626714</v>
      </c>
      <c r="H59" s="3">
        <f>AVERAGE(E59:G59)</f>
        <v/>
      </c>
      <c r="I59" s="3">
        <f>_xlfn.STDEV.S(E59:G59)</f>
        <v/>
      </c>
      <c r="J59" s="2" t="inlineStr">
        <is>
          <t>%</t>
        </is>
      </c>
      <c r="K59" s="2" t="inlineStr">
        <is>
          <t>0, 1, 2</t>
        </is>
      </c>
      <c r="L59" s="2" t="inlineStr">
        <is>
          <t>data/stage2_results_w15_fixed_snr_variable.npz:excess_by_seed[alpha=0.8]</t>
        </is>
      </c>
      <c r="M59" s="2" t="inlineStr">
        <is>
          <t>EnKF RMSE excess over the PF at alpha=0.8, per seed</t>
        </is>
      </c>
    </row>
    <row r="60">
      <c r="C60" s="2" t="inlineStr">
        <is>
          <t>5.1</t>
        </is>
      </c>
      <c r="D60" s="2" t="inlineStr">
        <is>
          <t>EnKF vs wrong EnKF excess RMSE gap (alpha = 0.2)</t>
        </is>
      </c>
      <c r="E60" s="3" t="n">
        <v>76.01967592831689</v>
      </c>
      <c r="F60" s="3" t="n">
        <v>46.07466027633502</v>
      </c>
      <c r="G60" s="3" t="n">
        <v>41.77675418238575</v>
      </c>
      <c r="H60" s="3">
        <f>AVERAGE(E60:G60)</f>
        <v/>
      </c>
      <c r="I60" s="3">
        <f>_xlfn.STDEV.S(E60:G60)</f>
        <v/>
      </c>
      <c r="J60" s="2" t="inlineStr">
        <is>
          <t>pp</t>
        </is>
      </c>
      <c r="K60" s="2" t="inlineStr">
        <is>
          <t>0, 1, 2</t>
        </is>
      </c>
      <c r="L60" s="2" t="inlineStr">
        <is>
          <t>data/stage2_hbar_w15_fixed_snr_variable.npz:penalty_by_seed[alpha=0.2]</t>
        </is>
      </c>
      <c r="M60" s="2" t="inlineStr">
        <is>
          <t>h(E[x]) RMSE penalty over the standard EnKF at alpha=0.2, per seed</t>
        </is>
      </c>
    </row>
    <row r="61">
      <c r="C61" s="2" t="inlineStr">
        <is>
          <t>5.1</t>
        </is>
      </c>
      <c r="D61" s="2" t="inlineStr">
        <is>
          <t>QR-EnKF excess removed - max over the sweep</t>
        </is>
      </c>
      <c r="E61" s="3" t="n">
        <v>202.6933398695428</v>
      </c>
      <c r="F61" s="3" t="n">
        <v>312.7902288987783</v>
      </c>
      <c r="G61" s="3" t="n">
        <v>144.2116958960939</v>
      </c>
      <c r="H61" s="3">
        <f>AVERAGE(E61:G61)</f>
        <v/>
      </c>
      <c r="I61" s="3">
        <f>_xlfn.STDEV.S(E61:G61)</f>
        <v/>
      </c>
      <c r="J61" s="2" t="inlineStr">
        <is>
          <t>pp</t>
        </is>
      </c>
      <c r="K61" s="2" t="inlineStr">
        <is>
          <t>0, 1, 2</t>
        </is>
      </c>
      <c r="L61" s="2" t="inlineStr">
        <is>
          <t>data/stage2_results_w15_fixed_snr_variable.npz:excess_by_seed - excess_qr_by_seed [alpha=0.8]</t>
        </is>
      </c>
      <c r="M61" s="2" t="inlineStr">
        <is>
          <t>EnKF excess minus QR-EnKF excess; alpha=0.8 is the argmax of the seed-mean curve, and the seed columns are the per-seed values there</t>
        </is>
      </c>
    </row>
    <row r="62">
      <c r="C62" s="2" t="inlineStr">
        <is>
          <t>5.1</t>
        </is>
      </c>
      <c r="D62" s="2" t="inlineStr">
        <is>
          <t>blind shadow max removal a &gt;= 0.6</t>
        </is>
      </c>
      <c r="E62" s="3" t="n">
        <v>65.83804578405091</v>
      </c>
      <c r="F62" s="3" t="n">
        <v>86.10380232557645</v>
      </c>
      <c r="G62" s="3" t="n">
        <v>64.08486442744294</v>
      </c>
      <c r="H62" s="3">
        <f>AVERAGE(E62:G62)</f>
        <v/>
      </c>
      <c r="I62" s="3">
        <f>_xlfn.STDEV.S(E62:G62)</f>
        <v/>
      </c>
      <c r="J62" s="2" t="inlineStr">
        <is>
          <t>pp</t>
        </is>
      </c>
      <c r="K62" s="2" t="inlineStr">
        <is>
          <t>0, 1, 2</t>
        </is>
      </c>
      <c r="L62" s="2" t="inlineStr">
        <is>
          <t>data/stage4_blind_shadow_a{0.6,0.8,1}.npz</t>
        </is>
      </c>
      <c r="M62" s="2" t="inlineStr">
        <is>
          <t>maximum over alpha &gt;= 0.6 of the excess removed (pp), taken within each seed, so each column may come from a different alpha: seed 0 at alpha=0.8, seed 1 at alpha=0.8, seed 2 at alpha=0.8</t>
        </is>
      </c>
    </row>
    <row r="63">
      <c r="C63" s="2" t="inlineStr">
        <is>
          <t>5.1</t>
        </is>
      </c>
      <c r="D63" s="2" t="inlineStr">
        <is>
          <t>shadow x corr at a = 0</t>
        </is>
      </c>
      <c r="E63" s="3" t="n">
        <v>0.07178128152404051</v>
      </c>
      <c r="F63" s="3" t="n">
        <v>0.08256280864075552</v>
      </c>
      <c r="G63" s="3" t="n">
        <v>0.0469638741823877</v>
      </c>
      <c r="H63" s="3">
        <f>AVERAGE(E63:G63)</f>
        <v/>
      </c>
      <c r="I63" s="3">
        <f>_xlfn.STDEV.S(E63:G63)</f>
        <v/>
      </c>
      <c r="J63" s="2" t="inlineStr">
        <is>
          <t>-</t>
        </is>
      </c>
      <c r="K63" s="2" t="inlineStr">
        <is>
          <t>0, 1, 2</t>
        </is>
      </c>
      <c r="L63" s="2" t="inlineStr">
        <is>
          <t>data\stage4_shadow_a0.0.npz:target,pred</t>
        </is>
      </c>
      <c r="M63" s="2" t="inlineStr">
        <is>
          <t>corr(true residual, learnt prediction) in x, whole run, per seed</t>
        </is>
      </c>
    </row>
    <row r="64">
      <c r="C64" s="2" t="inlineStr">
        <is>
          <t>5.1</t>
        </is>
      </c>
      <c r="D64" s="2" t="inlineStr">
        <is>
          <t>shadow x corr at a = 0.8</t>
        </is>
      </c>
      <c r="E64" s="3" t="n">
        <v>0.5030528526011416</v>
      </c>
      <c r="F64" s="3" t="n">
        <v>0.6321553824268372</v>
      </c>
      <c r="G64" s="3" t="n">
        <v>0.5069733797974505</v>
      </c>
      <c r="H64" s="3">
        <f>AVERAGE(E64:G64)</f>
        <v/>
      </c>
      <c r="I64" s="3">
        <f>_xlfn.STDEV.S(E64:G64)</f>
        <v/>
      </c>
      <c r="J64" s="2" t="inlineStr">
        <is>
          <t>-</t>
        </is>
      </c>
      <c r="K64" s="2" t="inlineStr">
        <is>
          <t>0, 1, 2</t>
        </is>
      </c>
      <c r="L64" s="2" t="inlineStr">
        <is>
          <t>data\stage4_shadow_a0.8.npz:target,pred</t>
        </is>
      </c>
      <c r="M64" s="2" t="inlineStr">
        <is>
          <t>corr(true residual, learnt prediction) in x, whole run, per seed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20" customWidth="1" min="2" max="2"/>
  </cols>
  <sheetData>
    <row r="1">
      <c r="A1" s="6" t="inlineStr">
        <is>
          <t>thesis_values.py — how to read this workbook</t>
        </is>
      </c>
    </row>
    <row r="3">
      <c r="A3" s="6" t="inlineStr">
        <is>
          <t>Layout</t>
        </is>
      </c>
      <c r="B3" s="7" t="inlineStr">
        <is>
          <t>Columns C:I match the hand-built sheet exactly, so that block can be copied straight across. Everything from J rightwards is provenance.</t>
        </is>
      </c>
    </row>
    <row r="4">
      <c r="A4" s="6" t="inlineStr">
        <is>
          <t>mean / std</t>
        </is>
      </c>
      <c r="B4" s="7" t="inlineStr">
        <is>
          <t>Live formulas over the seed cells: AVERAGE and STDEV.S, the sample standard deviation, matching the hand-built sheet.</t>
        </is>
      </c>
    </row>
    <row r="5">
      <c r="A5" s="6" t="inlineStr">
        <is>
          <t>Order of averaging</t>
        </is>
      </c>
      <c r="B5" s="7" t="inlineStr">
        <is>
          <t>Where a row averages over alpha as well as over seeds, the ALPHA average is taken inside each seed first and the seed cells hold those numbers. The sheet then averages across seeds. Doing it the other way gives the same mean but a spread that means nothing.</t>
        </is>
      </c>
    </row>
    <row r="6">
      <c r="A6" s="6" t="inlineStr">
        <is>
          <t>Calibration ratio</t>
        </is>
      </c>
      <c r="B6" s="7" t="inlineStr">
        <is>
          <t>Every ratio in this sheet is config.cal_ratio: the mean over x, y, z of spread_i / RMSE_i, formed inside one seed. Since patch 5.44 stage1_results.py, error_sweep.py and stage2_hbar_diagnostic.py all use that definition and all use the baseline jitter at alpha = 0, so their alpha = 0 numbers are the same run. The 4.1 and 4.2.3 alpha = 0 rows should therefore agree exactly; if they do not, one of the npz files predates the patch.</t>
        </is>
      </c>
    </row>
    <row r="7">
      <c r="A7" s="6" t="inlineStr">
        <is>
          <t>Units</t>
        </is>
      </c>
      <c r="B7" s="7" t="inlineStr">
        <is>
          <t>Excess figures are in PERCENT here (63.6 means 63.6%). Gaps between two excesses, including every "removal" row, are in percentage POINTS: baseline excess over the PF minus corrected excess over the PF. The unit column says which, per row. To read a removal row as a share of the baseline excess instead, pass relative=True at its call site in ROWS — but do not mix the two units inside one table.</t>
        </is>
      </c>
    </row>
    <row r="8">
      <c r="A8" s="6" t="inlineStr">
        <is>
          <t>Correlation window</t>
        </is>
      </c>
      <c r="B8" s="7" t="inlineStr">
        <is>
          <t>Stage 4 correlations are computed over the whole run. stage4_results.py has annotated its figure with the t &lt;= 150 value since patch 5.9, so if the thesis quotes the number printed on the current figure, set TRACE_TMAX = 150.0 at the top of this script and rerun.</t>
        </is>
      </c>
    </row>
    <row r="9">
      <c r="A9" s="6" t="inlineStr">
        <is>
          <t>Section 4.5</t>
        </is>
      </c>
      <c r="B9" s="7" t="inlineStr">
        <is>
          <t>Left empty on purpose. partfilt_l96.py runs one seed in its __main__ and l96_pf_ess.npz has no seed axis, so there is nothing per-seed to read. Add a cfg.seeds loop there to fill these rows.</t>
        </is>
      </c>
    </row>
    <row r="12">
      <c r="A12" t="inlineStr">
        <is>
          <t>sources: data/stage1_results_w15.npz | data/stage2_results_w15_fixed_snr_variable.npz | data/stage2_hbar_w15_fixed_snr_variable.npz | data/stage3_qr_extrapolation_a0.1_w15_fixed_snr.npz | data/stage4_{mode}_a{alpha}.npz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2026-08-26T18:20:08Z</dcterms:created>
  <dcterms:modified xsi:type="dcterms:W3CDTF">2026-08-26T18:20:08Z</dcterms:modified>
</cp:coreProperties>
</file>