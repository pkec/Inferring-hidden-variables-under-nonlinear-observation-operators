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\Lorenz63\data\"/>
    </mc:Choice>
  </mc:AlternateContent>
  <xr:revisionPtr revIDLastSave="0" documentId="13_ncr:1_{87DD1A66-3462-47F0-86A6-E8F4D21C710F}" xr6:coauthVersionLast="47" xr6:coauthVersionMax="47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pf_rmse_w15" sheetId="1" r:id="rId1"/>
    <sheet name="pf_spread_w15" sheetId="2" r:id="rId2"/>
    <sheet name="pf_cbr" sheetId="6" r:id="rId3"/>
    <sheet name="enkf_rmse_w15" sheetId="3" r:id="rId4"/>
    <sheet name="enkf_spread_w15" sheetId="4" r:id="rId5"/>
    <sheet name="enkf_cbr" sheetId="7" r:id="rId6"/>
    <sheet name="enkf_excess_w15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F2" i="7"/>
  <c r="E2" i="7"/>
  <c r="E3" i="7"/>
  <c r="E1" i="7"/>
  <c r="A2" i="7"/>
  <c r="B2" i="7"/>
  <c r="C2" i="7"/>
  <c r="A3" i="7"/>
  <c r="B3" i="7"/>
  <c r="C3" i="7"/>
  <c r="B1" i="7"/>
  <c r="C1" i="7"/>
  <c r="A1" i="7"/>
  <c r="G2" i="6"/>
  <c r="F2" i="6"/>
  <c r="E2" i="6"/>
  <c r="E3" i="6"/>
  <c r="E1" i="6"/>
  <c r="A2" i="6"/>
  <c r="B2" i="6"/>
  <c r="C2" i="6"/>
  <c r="A3" i="6"/>
  <c r="B3" i="6"/>
  <c r="C3" i="6"/>
  <c r="B1" i="6"/>
  <c r="C1" i="6"/>
  <c r="A1" i="6"/>
  <c r="E6" i="5"/>
  <c r="F2" i="5"/>
  <c r="E2" i="5"/>
  <c r="E3" i="5"/>
  <c r="E1" i="5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4.5" x14ac:dyDescent="0.35"/>
  <sheetData>
    <row r="1" spans="1:3" x14ac:dyDescent="0.35">
      <c r="A1">
        <v>0.40807556775402681</v>
      </c>
      <c r="B1">
        <v>0.68541762117335814</v>
      </c>
      <c r="C1">
        <v>0.64078232032748916</v>
      </c>
    </row>
    <row r="2" spans="1:3" x14ac:dyDescent="0.35">
      <c r="A2">
        <v>0.38946104581818358</v>
      </c>
      <c r="B2">
        <v>0.67918914849987133</v>
      </c>
      <c r="C2">
        <v>0.55734343300943667</v>
      </c>
    </row>
    <row r="3" spans="1:3" x14ac:dyDescent="0.35">
      <c r="A3">
        <v>0.42414422269353558</v>
      </c>
      <c r="B3">
        <v>0.7075775015405007</v>
      </c>
      <c r="C3">
        <v>0.67512470447242945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5" x14ac:dyDescent="0.35"/>
  <sheetData>
    <row r="1" spans="1:3" x14ac:dyDescent="0.35">
      <c r="A1">
        <v>0.39989027658849691</v>
      </c>
      <c r="B1">
        <v>0.65948399212685382</v>
      </c>
      <c r="C1">
        <v>0.6372325470658492</v>
      </c>
    </row>
    <row r="2" spans="1:3" x14ac:dyDescent="0.35">
      <c r="A2">
        <v>0.40066860835147339</v>
      </c>
      <c r="B2">
        <v>0.66008128361682961</v>
      </c>
      <c r="C2">
        <v>0.64295358595924978</v>
      </c>
    </row>
    <row r="3" spans="1:3" x14ac:dyDescent="0.35">
      <c r="A3">
        <v>0.40409702852228252</v>
      </c>
      <c r="B3">
        <v>0.67326519325894529</v>
      </c>
      <c r="C3">
        <v>0.63935461270333827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FF3C-572A-4BCC-9436-7D482A9C31CB}">
  <dimension ref="A1:G3"/>
  <sheetViews>
    <sheetView workbookViewId="0">
      <selection activeCell="G2" sqref="G2"/>
    </sheetView>
  </sheetViews>
  <sheetFormatPr defaultRowHeight="14.5" x14ac:dyDescent="0.35"/>
  <sheetData>
    <row r="1" spans="1:7" x14ac:dyDescent="0.35">
      <c r="A1">
        <f>pf_spread_w15!A1/pf_rmse_w15!A1</f>
        <v>0.97994172694390835</v>
      </c>
      <c r="B1">
        <f>pf_spread_w15!B1/pf_rmse_w15!B1</f>
        <v>0.96216375499347562</v>
      </c>
      <c r="C1">
        <f>pf_spread_w15!C1/pf_rmse_w15!C1</f>
        <v>0.99446025093228885</v>
      </c>
      <c r="E1">
        <f>AVERAGE(A1:C1)</f>
        <v>0.9788552442898909</v>
      </c>
    </row>
    <row r="2" spans="1:7" x14ac:dyDescent="0.35">
      <c r="A2">
        <f>pf_spread_w15!A2/pf_rmse_w15!A2</f>
        <v>1.0287771078869901</v>
      </c>
      <c r="B2">
        <f>pf_spread_w15!B2/pf_rmse_w15!B2</f>
        <v>0.9718666516901141</v>
      </c>
      <c r="C2">
        <f>pf_spread_w15!C2/pf_rmse_w15!C2</f>
        <v>1.1536039502386379</v>
      </c>
      <c r="E2">
        <f t="shared" ref="E2:E3" si="0">AVERAGE(A2:C2)</f>
        <v>1.0514159032719139</v>
      </c>
      <c r="F2">
        <f>AVERAGE(E1:E3)</f>
        <v>0.99356364568416522</v>
      </c>
      <c r="G2">
        <f>_xlfn.STDEV.S(E1:E3)</f>
        <v>5.2079809460181085E-2</v>
      </c>
    </row>
    <row r="3" spans="1:7" x14ac:dyDescent="0.35">
      <c r="A3">
        <f>pf_spread_w15!A3/pf_rmse_w15!A3</f>
        <v>0.95273495877429859</v>
      </c>
      <c r="B3">
        <f>pf_spread_w15!B3/pf_rmse_w15!B3</f>
        <v>0.95150734978592111</v>
      </c>
      <c r="C3">
        <f>pf_spread_w15!C3/pf_rmse_w15!C3</f>
        <v>0.94701705991185225</v>
      </c>
      <c r="E3">
        <f t="shared" si="0"/>
        <v>0.95041978949069061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F1" sqref="F1"/>
    </sheetView>
  </sheetViews>
  <sheetFormatPr defaultRowHeight="14.5" x14ac:dyDescent="0.35"/>
  <sheetData>
    <row r="1" spans="1:3" x14ac:dyDescent="0.35">
      <c r="A1">
        <v>0.6116999845244242</v>
      </c>
      <c r="B1">
        <v>0.98583796189040707</v>
      </c>
      <c r="C1">
        <v>0.97542463381099698</v>
      </c>
    </row>
    <row r="2" spans="1:3" x14ac:dyDescent="0.35">
      <c r="A2">
        <v>0.72832710408497447</v>
      </c>
      <c r="B2">
        <v>1.2467024468173229</v>
      </c>
      <c r="C2">
        <v>1.104759603540671</v>
      </c>
    </row>
    <row r="3" spans="1:3" x14ac:dyDescent="0.35">
      <c r="A3">
        <v>0.66461270002329209</v>
      </c>
      <c r="B3">
        <v>1.067185504295312</v>
      </c>
      <c r="C3">
        <v>1.0131541651478471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J20" sqref="J20"/>
    </sheetView>
  </sheetViews>
  <sheetFormatPr defaultRowHeight="14.5" x14ac:dyDescent="0.35"/>
  <sheetData>
    <row r="1" spans="1:3" x14ac:dyDescent="0.35">
      <c r="A1">
        <v>0.64498037504582117</v>
      </c>
      <c r="B1">
        <v>1.0416850216197291</v>
      </c>
      <c r="C1">
        <v>0.96771141060252863</v>
      </c>
    </row>
    <row r="2" spans="1:3" x14ac:dyDescent="0.35">
      <c r="A2">
        <v>0.63876087137117543</v>
      </c>
      <c r="B2">
        <v>1.0300575906515621</v>
      </c>
      <c r="C2">
        <v>0.96529683323986049</v>
      </c>
    </row>
    <row r="3" spans="1:3" x14ac:dyDescent="0.35">
      <c r="A3">
        <v>0.64975101613910091</v>
      </c>
      <c r="B3">
        <v>1.0557534100894439</v>
      </c>
      <c r="C3">
        <v>0.96639258476821244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DB59-458F-4477-927C-E9AB4275492D}">
  <dimension ref="A1:G3"/>
  <sheetViews>
    <sheetView topLeftCell="A19" workbookViewId="0">
      <selection activeCell="E1" sqref="E1:E3"/>
    </sheetView>
  </sheetViews>
  <sheetFormatPr defaultRowHeight="14.5" x14ac:dyDescent="0.35"/>
  <sheetData>
    <row r="1" spans="1:7" x14ac:dyDescent="0.35">
      <c r="A1">
        <f>enkf_spread_w15!A1/enkf_rmse_w15!A1</f>
        <v>1.05440639425105</v>
      </c>
      <c r="B1">
        <f>enkf_spread_w15!B1/enkf_rmse_w15!B1</f>
        <v>1.0566493296953505</v>
      </c>
      <c r="C1">
        <f>enkf_spread_w15!C1/enkf_rmse_w15!C1</f>
        <v>0.99209244575018296</v>
      </c>
      <c r="E1">
        <f>AVERAGE(A1:C1)</f>
        <v>1.0343827232321945</v>
      </c>
    </row>
    <row r="2" spans="1:7" x14ac:dyDescent="0.35">
      <c r="A2">
        <f>enkf_spread_w15!A2/enkf_rmse_w15!A2</f>
        <v>0.87702471566491469</v>
      </c>
      <c r="B2">
        <f>enkf_spread_w15!B2/enkf_rmse_w15!B2</f>
        <v>0.82622569104694688</v>
      </c>
      <c r="C2">
        <f>enkf_spread_w15!C2/enkf_rmse_w15!C2</f>
        <v>0.87376188461829807</v>
      </c>
      <c r="E2">
        <f t="shared" ref="E2:E3" si="0">AVERAGE(A2:C2)</f>
        <v>0.85900409711005332</v>
      </c>
      <c r="F2">
        <f>AVERAGE(E1:E3)</f>
        <v>0.95565913400517621</v>
      </c>
      <c r="G2">
        <f>_xlfn.STDEV.S(E1:E3)</f>
        <v>8.9053737915530104E-2</v>
      </c>
    </row>
    <row r="3" spans="1:7" x14ac:dyDescent="0.35">
      <c r="A3">
        <f>enkf_spread_w15!A3/enkf_rmse_w15!A3</f>
        <v>0.97763857975679624</v>
      </c>
      <c r="B3">
        <f>enkf_spread_w15!B3/enkf_rmse_w15!B3</f>
        <v>0.98928762229260503</v>
      </c>
      <c r="C3">
        <f>enkf_spread_w15!C3/enkf_rmse_w15!C3</f>
        <v>0.95384554297044144</v>
      </c>
      <c r="E3">
        <f t="shared" si="0"/>
        <v>0.97359058167328083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abSelected="1" workbookViewId="0">
      <selection activeCell="J13" sqref="J13"/>
    </sheetView>
  </sheetViews>
  <sheetFormatPr defaultRowHeight="14.5" x14ac:dyDescent="0.35"/>
  <sheetData>
    <row r="1" spans="1:6" x14ac:dyDescent="0.35">
      <c r="A1">
        <v>49.898703294369959</v>
      </c>
      <c r="B1">
        <v>43.830262227977592</v>
      </c>
      <c r="C1">
        <v>52.224024113599107</v>
      </c>
      <c r="E1">
        <f>AVERAGE(A1:C1)</f>
        <v>48.650996545315557</v>
      </c>
    </row>
    <row r="2" spans="1:6" x14ac:dyDescent="0.35">
      <c r="A2">
        <v>87.008973530304587</v>
      </c>
      <c r="B2">
        <v>83.557474316384614</v>
      </c>
      <c r="C2">
        <v>98.218824894984635</v>
      </c>
      <c r="E2">
        <f t="shared" ref="E2:E3" si="0">AVERAGE(A2:C2)</f>
        <v>89.595090913891269</v>
      </c>
      <c r="F2">
        <f>AVERAGE(E1:E3)</f>
        <v>63.591649857237734</v>
      </c>
    </row>
    <row r="3" spans="1:6" x14ac:dyDescent="0.35">
      <c r="A3">
        <v>56.694978845322247</v>
      </c>
      <c r="B3">
        <v>50.822419024331843</v>
      </c>
      <c r="C3">
        <v>50.069188467865047</v>
      </c>
      <c r="E3">
        <f t="shared" si="0"/>
        <v>52.528862112506374</v>
      </c>
    </row>
    <row r="6" spans="1:6" x14ac:dyDescent="0.35">
      <c r="E6">
        <f>_xlfn.STDEV.S(E1:E3)</f>
        <v>22.602957116922617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pf_rmse_w15</vt:lpstr>
      <vt:lpstr>pf_spread_w15</vt:lpstr>
      <vt:lpstr>pf_cbr</vt:lpstr>
      <vt:lpstr>enkf_rmse_w15</vt:lpstr>
      <vt:lpstr>enkf_spread_w15</vt:lpstr>
      <vt:lpstr>enkf_cbr</vt:lpstr>
      <vt:lpstr>enkf_excess_w15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Kecharananta, Narith</cp:lastModifiedBy>
  <dcterms:created xsi:type="dcterms:W3CDTF">2026-08-22T20:09:50Z</dcterms:created>
  <dcterms:modified xsi:type="dcterms:W3CDTF">2026-08-22T20:20:56Z</dcterms:modified>
</cp:coreProperties>
</file>