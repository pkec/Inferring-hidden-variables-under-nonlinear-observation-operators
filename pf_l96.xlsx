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eem\Downloads\"/>
    </mc:Choice>
  </mc:AlternateContent>
  <xr:revisionPtr revIDLastSave="0" documentId="13_ncr:1_{39D04D24-5DAC-43AB-B191-747B1525BD1F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PF Results" sheetId="1" r:id="rId1"/>
  </sheets>
  <definedNames>
    <definedName name="_xlnm._FilterDatabase" localSheetId="0" hidden="1">'PF Results'!$A$1:$J$82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90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2" i="1"/>
  <c r="I112" i="1"/>
  <c r="H112" i="1"/>
  <c r="G112" i="1"/>
  <c r="F112" i="1"/>
  <c r="E112" i="1"/>
  <c r="I111" i="1"/>
  <c r="H111" i="1"/>
  <c r="G111" i="1"/>
  <c r="F111" i="1"/>
  <c r="E111" i="1"/>
  <c r="I110" i="1"/>
  <c r="H110" i="1"/>
  <c r="G110" i="1"/>
  <c r="F110" i="1"/>
  <c r="E110" i="1"/>
  <c r="I109" i="1"/>
  <c r="H109" i="1"/>
  <c r="G109" i="1"/>
  <c r="F109" i="1"/>
  <c r="E109" i="1"/>
  <c r="I108" i="1"/>
  <c r="H108" i="1"/>
  <c r="G108" i="1"/>
  <c r="F108" i="1"/>
  <c r="E108" i="1"/>
  <c r="I107" i="1"/>
  <c r="H107" i="1"/>
  <c r="G107" i="1"/>
  <c r="F107" i="1"/>
  <c r="E107" i="1"/>
  <c r="I106" i="1"/>
  <c r="H106" i="1"/>
  <c r="G106" i="1"/>
  <c r="F106" i="1"/>
  <c r="E106" i="1"/>
  <c r="J105" i="1"/>
  <c r="I105" i="1"/>
  <c r="H105" i="1"/>
  <c r="G105" i="1"/>
  <c r="F105" i="1"/>
  <c r="E105" i="1"/>
  <c r="I104" i="1"/>
  <c r="H104" i="1"/>
  <c r="G104" i="1"/>
  <c r="F104" i="1"/>
  <c r="E104" i="1"/>
  <c r="I103" i="1"/>
  <c r="H103" i="1"/>
  <c r="G103" i="1"/>
  <c r="F103" i="1"/>
  <c r="E103" i="1"/>
  <c r="I102" i="1"/>
  <c r="H102" i="1"/>
  <c r="G102" i="1"/>
  <c r="F102" i="1"/>
  <c r="E102" i="1"/>
  <c r="I101" i="1"/>
  <c r="H101" i="1"/>
  <c r="G101" i="1"/>
  <c r="F101" i="1"/>
  <c r="E101" i="1"/>
  <c r="I100" i="1"/>
  <c r="H100" i="1"/>
  <c r="G100" i="1"/>
  <c r="F100" i="1"/>
  <c r="E100" i="1"/>
  <c r="I99" i="1"/>
  <c r="H99" i="1"/>
  <c r="G99" i="1"/>
  <c r="F99" i="1"/>
  <c r="E99" i="1"/>
  <c r="I98" i="1"/>
  <c r="H98" i="1"/>
  <c r="G98" i="1"/>
  <c r="F98" i="1"/>
  <c r="E98" i="1"/>
  <c r="J97" i="1"/>
  <c r="I97" i="1"/>
  <c r="H97" i="1"/>
  <c r="G97" i="1"/>
  <c r="F97" i="1"/>
  <c r="E97" i="1"/>
  <c r="I96" i="1"/>
  <c r="H96" i="1"/>
  <c r="G96" i="1"/>
  <c r="F96" i="1"/>
  <c r="E96" i="1"/>
  <c r="I95" i="1"/>
  <c r="H95" i="1"/>
  <c r="G95" i="1"/>
  <c r="F95" i="1"/>
  <c r="E95" i="1"/>
  <c r="I94" i="1"/>
  <c r="H94" i="1"/>
  <c r="G94" i="1"/>
  <c r="F94" i="1"/>
  <c r="E94" i="1"/>
  <c r="I93" i="1"/>
  <c r="H93" i="1"/>
  <c r="G93" i="1"/>
  <c r="F93" i="1"/>
  <c r="E93" i="1"/>
  <c r="I92" i="1"/>
  <c r="H92" i="1"/>
  <c r="G92" i="1"/>
  <c r="F92" i="1"/>
  <c r="E92" i="1"/>
  <c r="I91" i="1"/>
  <c r="H91" i="1"/>
  <c r="G91" i="1"/>
  <c r="F91" i="1"/>
  <c r="E91" i="1"/>
  <c r="I90" i="1"/>
  <c r="H90" i="1"/>
  <c r="G90" i="1"/>
  <c r="F90" i="1"/>
  <c r="E90" i="1"/>
  <c r="J89" i="1"/>
  <c r="I89" i="1"/>
  <c r="H89" i="1"/>
  <c r="G89" i="1"/>
  <c r="F89" i="1"/>
  <c r="E89" i="1"/>
  <c r="I88" i="1"/>
  <c r="H88" i="1"/>
  <c r="G88" i="1"/>
  <c r="F88" i="1"/>
  <c r="E88" i="1"/>
  <c r="I87" i="1"/>
  <c r="H87" i="1"/>
  <c r="G87" i="1"/>
  <c r="F87" i="1"/>
  <c r="E87" i="1"/>
  <c r="I86" i="1"/>
  <c r="H86" i="1"/>
  <c r="G86" i="1"/>
  <c r="F86" i="1"/>
  <c r="E86" i="1"/>
  <c r="J112" i="1"/>
  <c r="J111" i="1"/>
  <c r="J110" i="1"/>
  <c r="J109" i="1"/>
  <c r="J108" i="1"/>
  <c r="J107" i="1"/>
  <c r="J106" i="1"/>
  <c r="J104" i="1"/>
  <c r="J103" i="1"/>
  <c r="J102" i="1"/>
  <c r="J101" i="1"/>
  <c r="J100" i="1"/>
  <c r="J99" i="1"/>
  <c r="J98" i="1"/>
  <c r="J96" i="1"/>
  <c r="J95" i="1"/>
  <c r="J94" i="1"/>
  <c r="J93" i="1"/>
  <c r="J92" i="1"/>
  <c r="J91" i="1"/>
  <c r="J90" i="1"/>
  <c r="J88" i="1"/>
  <c r="J87" i="1"/>
  <c r="J86" i="1"/>
</calcChain>
</file>

<file path=xl/sharedStrings.xml><?xml version="1.0" encoding="utf-8"?>
<sst xmlns="http://schemas.openxmlformats.org/spreadsheetml/2006/main" count="57" uniqueCount="21">
  <si>
    <t>stride</t>
  </si>
  <si>
    <t>seed</t>
  </si>
  <si>
    <t>n</t>
  </si>
  <si>
    <t>N</t>
  </si>
  <si>
    <t>min ESS</t>
  </si>
  <si>
    <t>spread</t>
  </si>
  <si>
    <t>RMSE</t>
  </si>
  <si>
    <t>spread/RMSE</t>
  </si>
  <si>
    <t>clim</t>
  </si>
  <si>
    <t>Averages across seeds (0, 1, 2)</t>
  </si>
  <si>
    <t>avg</t>
  </si>
  <si>
    <t>min ESS / N (%)</t>
  </si>
  <si>
    <t>n= 20  N=  1000  min ESS=    1.0  spread=0.116  RMSE=4.026  spread/RMSE=0.03  clim=3.60</t>
  </si>
  <si>
    <t>n= 20  N= 10000  min ESS=    1.0  spread=0.151  RMSE=3.617  spread/RMSE=0.04  clim=3.60</t>
  </si>
  <si>
    <t>n= 20  N= 30000  min ESS=    1.3  spread=0.159  RMSE=4.210  spread/RMSE=0.04  clim=3.60</t>
  </si>
  <si>
    <t>n= 30  N=  1000  min ESS=    1.9  spread=0.122  RMSE=4.329  spread/RMSE=0.03  clim=3.60</t>
  </si>
  <si>
    <t>n= 30  N= 10000  min ESS=    2.2  spread=0.133  RMSE=4.188  spread/RMSE=0.03  clim=3.60</t>
  </si>
  <si>
    <t>n= 30  N= 30000  min ESS=    1.8  spread=0.173  RMSE=3.102  spread/RMSE=0.06  clim=3.60</t>
  </si>
  <si>
    <t>n= 40  N=  1000  min ESS=    1.0  spread=0.105  RMSE=3.944  spread/RMSE=0.03  clim=3.56</t>
  </si>
  <si>
    <t>n= 40  N= 10000  min ESS=    1.0  spread=0.116  RMSE=3.530  spread/RMSE=0.03  clim=3.56</t>
  </si>
  <si>
    <t>n= 40  N= 30000  min ESS=    1.0  spread=0.122  RMSE=3.963  spread/RMSE=0.03  clim=3.56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</si>
</sst>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00"/>
  </numFmts>
  <fonts count="4" x14ac:knownFonts="1">
    <font>
      <sz val="11"/>
      <color theme="1"/>
      <name val="Calibri"/>
      <family val="2"/>
      <charset val="1"/>
    </font>
    <font>
      <b/>
      <sz val="11"/>
      <name val="Arial"/>
      <charset val="1"/>
    </font>
    <font>
      <sz val="11"/>
      <name val="Arial"/>
      <charset val="1"/>
    </font>
    <font>
      <b/>
      <i/>
      <sz val="11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FCE4D6"/>
      </patternFill>
    </fill>
    <fill>
      <patternFill patternType="solid">
        <fgColor rgb="FFFCE4D6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3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6" fontId="2" fillId="0" borderId="1" xfId="0" applyNumberFormat="1" applyFont="1" applyBorder="1" applyAlignment="1">
      <alignment horizontal="center"/>
    </xf>
    <xf numFmtId="0" fontId="3" fillId="0" borderId="0" xfId="0" applyFont="1"/>
    <xf numFmtId="0" fontId="1" fillId="3" borderId="1" xfId="0" applyFont="1" applyFill="1" applyBorder="1" applyAlignment="1">
      <alignment horizontal="center"/>
    </xf>
    <xf numFmtId="2" fontId="2" fillId="0" borderId="0" xfId="0" applyNumberFormat="1" applyFont="1" applyFill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CE4D6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zoomScaleNormal="100" workbookViewId="0">
      <pane ySplit="1" topLeftCell="A83" activePane="bottomLeft" state="frozen"/>
      <selection pane="bottomLeft" activeCell="A91" sqref="A88:J91"/>
    </sheetView>
  </sheetViews>
  <sheetFormatPr defaultColWidth="8.6328125" defaultRowHeight="14.5" x14ac:dyDescent="0.35"/>
  <cols>
    <col min="1" max="1" width="8" customWidth="1"/>
    <col min="2" max="3" width="6" customWidth="1"/>
    <col min="4" max="4" width="8" customWidth="1"/>
    <col min="5" max="5" width="10" customWidth="1"/>
    <col min="6" max="7" width="9" customWidth="1"/>
    <col min="8" max="8" width="16.26953125" customWidth="1"/>
    <col min="9" max="9" width="7" customWidth="1"/>
    <col min="10" max="10" width="18.26953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</row>
    <row r="2" spans="1:10" x14ac:dyDescent="0.35">
      <c r="A2" s="2">
        <v>1</v>
      </c>
      <c r="B2" s="2">
        <v>0</v>
      </c>
      <c r="C2" s="2">
        <v>20</v>
      </c>
      <c r="D2" s="3">
        <v>1000</v>
      </c>
      <c r="E2" s="4">
        <v>1.2</v>
      </c>
      <c r="F2" s="5">
        <v>0.14599999999999999</v>
      </c>
      <c r="G2" s="5">
        <v>4.3849999999999998</v>
      </c>
      <c r="H2" s="6">
        <v>0.03</v>
      </c>
      <c r="I2" s="6">
        <v>3.6</v>
      </c>
      <c r="J2" s="7">
        <f>E2/D2*100</f>
        <v>0.12</v>
      </c>
    </row>
    <row r="3" spans="1:10" x14ac:dyDescent="0.35">
      <c r="A3" s="2">
        <v>1</v>
      </c>
      <c r="B3" s="2">
        <v>0</v>
      </c>
      <c r="C3" s="2">
        <v>20</v>
      </c>
      <c r="D3" s="3">
        <v>10000</v>
      </c>
      <c r="E3" s="4">
        <v>2.7</v>
      </c>
      <c r="F3" s="5">
        <v>0.252</v>
      </c>
      <c r="G3" s="5">
        <v>0.29799999999999999</v>
      </c>
      <c r="H3" s="6">
        <v>0.85</v>
      </c>
      <c r="I3" s="6">
        <v>3.6</v>
      </c>
      <c r="J3" s="7">
        <f t="shared" ref="J3:J66" si="0">E3/D3*100</f>
        <v>2.7E-2</v>
      </c>
    </row>
    <row r="4" spans="1:10" x14ac:dyDescent="0.35">
      <c r="A4" s="2">
        <v>1</v>
      </c>
      <c r="B4" s="2">
        <v>0</v>
      </c>
      <c r="C4" s="2">
        <v>20</v>
      </c>
      <c r="D4" s="3">
        <v>30000</v>
      </c>
      <c r="E4" s="4">
        <v>10.7</v>
      </c>
      <c r="F4" s="5">
        <v>0.25800000000000001</v>
      </c>
      <c r="G4" s="5">
        <v>0.252</v>
      </c>
      <c r="H4" s="6">
        <v>1.02</v>
      </c>
      <c r="I4" s="6">
        <v>3.6</v>
      </c>
      <c r="J4" s="7">
        <f t="shared" si="0"/>
        <v>3.5666666666666666E-2</v>
      </c>
    </row>
    <row r="5" spans="1:10" x14ac:dyDescent="0.35">
      <c r="A5" s="2">
        <v>1</v>
      </c>
      <c r="B5" s="2">
        <v>0</v>
      </c>
      <c r="C5" s="2">
        <v>30</v>
      </c>
      <c r="D5" s="3">
        <v>1000</v>
      </c>
      <c r="E5" s="4">
        <v>1.9</v>
      </c>
      <c r="F5" s="5">
        <v>0.13500000000000001</v>
      </c>
      <c r="G5" s="5">
        <v>4.157</v>
      </c>
      <c r="H5" s="6">
        <v>0.03</v>
      </c>
      <c r="I5" s="6">
        <v>3.6</v>
      </c>
      <c r="J5" s="7">
        <f t="shared" si="0"/>
        <v>0.19</v>
      </c>
    </row>
    <row r="6" spans="1:10" x14ac:dyDescent="0.35">
      <c r="A6" s="2">
        <v>1</v>
      </c>
      <c r="B6" s="2">
        <v>0</v>
      </c>
      <c r="C6" s="2">
        <v>30</v>
      </c>
      <c r="D6" s="3">
        <v>10000</v>
      </c>
      <c r="E6" s="4">
        <v>5.7</v>
      </c>
      <c r="F6" s="5">
        <v>0.16300000000000001</v>
      </c>
      <c r="G6" s="5">
        <v>3.8439999999999999</v>
      </c>
      <c r="H6" s="6">
        <v>0.04</v>
      </c>
      <c r="I6" s="6">
        <v>3.6</v>
      </c>
      <c r="J6" s="7">
        <f t="shared" si="0"/>
        <v>5.6999999999999995E-2</v>
      </c>
    </row>
    <row r="7" spans="1:10" x14ac:dyDescent="0.35">
      <c r="A7" s="2">
        <v>1</v>
      </c>
      <c r="B7" s="2">
        <v>0</v>
      </c>
      <c r="C7" s="2">
        <v>30</v>
      </c>
      <c r="D7" s="3">
        <v>30000</v>
      </c>
      <c r="E7" s="4">
        <v>2.5</v>
      </c>
      <c r="F7" s="5">
        <v>0.17299999999999999</v>
      </c>
      <c r="G7" s="5">
        <v>3.4449999999999998</v>
      </c>
      <c r="H7" s="6">
        <v>0.05</v>
      </c>
      <c r="I7" s="6">
        <v>3.6</v>
      </c>
      <c r="J7" s="7">
        <f t="shared" si="0"/>
        <v>8.3333333333333332E-3</v>
      </c>
    </row>
    <row r="8" spans="1:10" x14ac:dyDescent="0.35">
      <c r="A8" s="2">
        <v>1</v>
      </c>
      <c r="B8" s="2">
        <v>0</v>
      </c>
      <c r="C8" s="2">
        <v>40</v>
      </c>
      <c r="D8" s="3">
        <v>1000</v>
      </c>
      <c r="E8" s="4">
        <v>1</v>
      </c>
      <c r="F8" s="5">
        <v>9.1999999999999998E-2</v>
      </c>
      <c r="G8" s="5">
        <v>4.7210000000000001</v>
      </c>
      <c r="H8" s="6">
        <v>0.02</v>
      </c>
      <c r="I8" s="6">
        <v>3.56</v>
      </c>
      <c r="J8" s="7">
        <f t="shared" si="0"/>
        <v>0.1</v>
      </c>
    </row>
    <row r="9" spans="1:10" x14ac:dyDescent="0.35">
      <c r="A9" s="2">
        <v>1</v>
      </c>
      <c r="B9" s="2">
        <v>0</v>
      </c>
      <c r="C9" s="2">
        <v>40</v>
      </c>
      <c r="D9" s="3">
        <v>10000</v>
      </c>
      <c r="E9" s="4">
        <v>1</v>
      </c>
      <c r="F9" s="5">
        <v>0.11</v>
      </c>
      <c r="G9" s="5">
        <v>3.9220000000000002</v>
      </c>
      <c r="H9" s="6">
        <v>0.03</v>
      </c>
      <c r="I9" s="6">
        <v>3.56</v>
      </c>
      <c r="J9" s="7">
        <f t="shared" si="0"/>
        <v>0.01</v>
      </c>
    </row>
    <row r="10" spans="1:10" x14ac:dyDescent="0.35">
      <c r="A10" s="2">
        <v>1</v>
      </c>
      <c r="B10" s="2">
        <v>0</v>
      </c>
      <c r="C10" s="2">
        <v>40</v>
      </c>
      <c r="D10" s="3">
        <v>30000</v>
      </c>
      <c r="E10" s="4">
        <v>1</v>
      </c>
      <c r="F10" s="5">
        <v>0.128</v>
      </c>
      <c r="G10" s="5">
        <v>3.4860000000000002</v>
      </c>
      <c r="H10" s="6">
        <v>0.04</v>
      </c>
      <c r="I10" s="6">
        <v>3.56</v>
      </c>
      <c r="J10" s="7">
        <f t="shared" si="0"/>
        <v>3.3333333333333335E-3</v>
      </c>
    </row>
    <row r="11" spans="1:10" x14ac:dyDescent="0.35">
      <c r="A11" s="2">
        <v>2</v>
      </c>
      <c r="B11" s="2">
        <v>0</v>
      </c>
      <c r="C11" s="2">
        <v>20</v>
      </c>
      <c r="D11" s="3">
        <v>1000</v>
      </c>
      <c r="E11" s="4">
        <v>7.4</v>
      </c>
      <c r="F11" s="5">
        <v>0.186</v>
      </c>
      <c r="G11" s="5">
        <v>5.0259999999999998</v>
      </c>
      <c r="H11" s="6">
        <v>0.04</v>
      </c>
      <c r="I11" s="6">
        <v>3.6</v>
      </c>
      <c r="J11" s="7">
        <f t="shared" si="0"/>
        <v>0.74</v>
      </c>
    </row>
    <row r="12" spans="1:10" x14ac:dyDescent="0.35">
      <c r="A12" s="2">
        <v>2</v>
      </c>
      <c r="B12" s="2">
        <v>0</v>
      </c>
      <c r="C12" s="2">
        <v>20</v>
      </c>
      <c r="D12" s="3">
        <v>10000</v>
      </c>
      <c r="E12" s="4">
        <v>17.2</v>
      </c>
      <c r="F12" s="5">
        <v>0.22800000000000001</v>
      </c>
      <c r="G12" s="5">
        <v>4.4269999999999996</v>
      </c>
      <c r="H12" s="6">
        <v>0.05</v>
      </c>
      <c r="I12" s="6">
        <v>3.6</v>
      </c>
      <c r="J12" s="7">
        <f t="shared" si="0"/>
        <v>0.17199999999999999</v>
      </c>
    </row>
    <row r="13" spans="1:10" x14ac:dyDescent="0.35">
      <c r="A13" s="2">
        <v>2</v>
      </c>
      <c r="B13" s="2">
        <v>0</v>
      </c>
      <c r="C13" s="2">
        <v>20</v>
      </c>
      <c r="D13" s="3">
        <v>30000</v>
      </c>
      <c r="E13" s="4">
        <v>603.4</v>
      </c>
      <c r="F13" s="5">
        <v>0.34100000000000003</v>
      </c>
      <c r="G13" s="5">
        <v>0.52500000000000002</v>
      </c>
      <c r="H13" s="6">
        <v>0.65</v>
      </c>
      <c r="I13" s="6">
        <v>3.6</v>
      </c>
      <c r="J13" s="7">
        <f t="shared" si="0"/>
        <v>2.0113333333333334</v>
      </c>
    </row>
    <row r="14" spans="1:10" x14ac:dyDescent="0.35">
      <c r="A14" s="2">
        <v>2</v>
      </c>
      <c r="B14" s="2">
        <v>0</v>
      </c>
      <c r="C14" s="2">
        <v>30</v>
      </c>
      <c r="D14" s="3">
        <v>1000</v>
      </c>
      <c r="E14" s="4">
        <v>3.4</v>
      </c>
      <c r="F14" s="5">
        <v>0.17599999999999999</v>
      </c>
      <c r="G14" s="5">
        <v>3.9369999999999998</v>
      </c>
      <c r="H14" s="6">
        <v>0.04</v>
      </c>
      <c r="I14" s="6">
        <v>3.6</v>
      </c>
      <c r="J14" s="7">
        <f t="shared" si="0"/>
        <v>0.33999999999999997</v>
      </c>
    </row>
    <row r="15" spans="1:10" x14ac:dyDescent="0.35">
      <c r="A15" s="2">
        <v>2</v>
      </c>
      <c r="B15" s="2">
        <v>0</v>
      </c>
      <c r="C15" s="2">
        <v>30</v>
      </c>
      <c r="D15" s="3">
        <v>10000</v>
      </c>
      <c r="E15" s="4">
        <v>2.9</v>
      </c>
      <c r="F15" s="5">
        <v>0.20699999999999999</v>
      </c>
      <c r="G15" s="5">
        <v>3.7839999999999998</v>
      </c>
      <c r="H15" s="6">
        <v>0.05</v>
      </c>
      <c r="I15" s="6">
        <v>3.6</v>
      </c>
      <c r="J15" s="7">
        <f t="shared" si="0"/>
        <v>2.9000000000000001E-2</v>
      </c>
    </row>
    <row r="16" spans="1:10" x14ac:dyDescent="0.35">
      <c r="A16" s="2">
        <v>2</v>
      </c>
      <c r="B16" s="2">
        <v>0</v>
      </c>
      <c r="C16" s="2">
        <v>30</v>
      </c>
      <c r="D16" s="3">
        <v>30000</v>
      </c>
      <c r="E16" s="4">
        <v>4.0999999999999996</v>
      </c>
      <c r="F16" s="5">
        <v>0.22</v>
      </c>
      <c r="G16" s="5">
        <v>3.7280000000000002</v>
      </c>
      <c r="H16" s="6">
        <v>0.06</v>
      </c>
      <c r="I16" s="6">
        <v>3.6</v>
      </c>
      <c r="J16" s="7">
        <f t="shared" si="0"/>
        <v>1.3666666666666667E-2</v>
      </c>
    </row>
    <row r="17" spans="1:10" x14ac:dyDescent="0.35">
      <c r="A17" s="2">
        <v>2</v>
      </c>
      <c r="B17" s="2">
        <v>0</v>
      </c>
      <c r="C17" s="2">
        <v>40</v>
      </c>
      <c r="D17" s="3">
        <v>1000</v>
      </c>
      <c r="E17" s="4">
        <v>5.2</v>
      </c>
      <c r="F17" s="5">
        <v>0.159</v>
      </c>
      <c r="G17" s="5">
        <v>4.5110000000000001</v>
      </c>
      <c r="H17" s="6">
        <v>0.04</v>
      </c>
      <c r="I17" s="6">
        <v>3.56</v>
      </c>
      <c r="J17" s="7">
        <f t="shared" si="0"/>
        <v>0.52</v>
      </c>
    </row>
    <row r="18" spans="1:10" x14ac:dyDescent="0.35">
      <c r="A18" s="2">
        <v>2</v>
      </c>
      <c r="B18" s="2">
        <v>0</v>
      </c>
      <c r="C18" s="2">
        <v>40</v>
      </c>
      <c r="D18" s="3">
        <v>10000</v>
      </c>
      <c r="E18" s="4">
        <v>11.8</v>
      </c>
      <c r="F18" s="5">
        <v>0.17499999999999999</v>
      </c>
      <c r="G18" s="5">
        <v>3.645</v>
      </c>
      <c r="H18" s="6">
        <v>0.05</v>
      </c>
      <c r="I18" s="6">
        <v>3.56</v>
      </c>
      <c r="J18" s="7">
        <f t="shared" si="0"/>
        <v>0.11800000000000001</v>
      </c>
    </row>
    <row r="19" spans="1:10" x14ac:dyDescent="0.35">
      <c r="A19" s="2">
        <v>2</v>
      </c>
      <c r="B19" s="2">
        <v>0</v>
      </c>
      <c r="C19" s="2">
        <v>40</v>
      </c>
      <c r="D19" s="3">
        <v>30000</v>
      </c>
      <c r="E19" s="4">
        <v>1.7</v>
      </c>
      <c r="F19" s="5">
        <v>0.19900000000000001</v>
      </c>
      <c r="G19" s="5">
        <v>3.8290000000000002</v>
      </c>
      <c r="H19" s="6">
        <v>0.05</v>
      </c>
      <c r="I19" s="6">
        <v>3.56</v>
      </c>
      <c r="J19" s="7">
        <f t="shared" si="0"/>
        <v>5.6666666666666662E-3</v>
      </c>
    </row>
    <row r="20" spans="1:10" x14ac:dyDescent="0.35">
      <c r="A20" s="2">
        <v>4</v>
      </c>
      <c r="B20" s="2">
        <v>0</v>
      </c>
      <c r="C20" s="2">
        <v>20</v>
      </c>
      <c r="D20" s="3">
        <v>1000</v>
      </c>
      <c r="E20" s="4">
        <v>23.1</v>
      </c>
      <c r="F20" s="5">
        <v>0.27400000000000002</v>
      </c>
      <c r="G20" s="5">
        <v>3.9060000000000001</v>
      </c>
      <c r="H20" s="6">
        <v>7.0000000000000007E-2</v>
      </c>
      <c r="I20" s="6">
        <v>3.6</v>
      </c>
      <c r="J20" s="7">
        <f t="shared" si="0"/>
        <v>2.31</v>
      </c>
    </row>
    <row r="21" spans="1:10" x14ac:dyDescent="0.35">
      <c r="A21" s="2">
        <v>4</v>
      </c>
      <c r="B21" s="2">
        <v>0</v>
      </c>
      <c r="C21" s="2">
        <v>20</v>
      </c>
      <c r="D21" s="3">
        <v>10000</v>
      </c>
      <c r="E21" s="4">
        <v>128.19999999999999</v>
      </c>
      <c r="F21" s="5">
        <v>0.39500000000000002</v>
      </c>
      <c r="G21" s="5">
        <v>2.8809999999999998</v>
      </c>
      <c r="H21" s="6">
        <v>0.14000000000000001</v>
      </c>
      <c r="I21" s="6">
        <v>3.6</v>
      </c>
      <c r="J21" s="7">
        <f t="shared" si="0"/>
        <v>1.2819999999999998</v>
      </c>
    </row>
    <row r="22" spans="1:10" x14ac:dyDescent="0.35">
      <c r="A22" s="2">
        <v>4</v>
      </c>
      <c r="B22" s="2">
        <v>0</v>
      </c>
      <c r="C22" s="2">
        <v>20</v>
      </c>
      <c r="D22" s="3">
        <v>30000</v>
      </c>
      <c r="E22" s="4">
        <v>762.3</v>
      </c>
      <c r="F22" s="5">
        <v>0.498</v>
      </c>
      <c r="G22" s="5">
        <v>0.72199999999999998</v>
      </c>
      <c r="H22" s="6">
        <v>0.69</v>
      </c>
      <c r="I22" s="6">
        <v>3.6</v>
      </c>
      <c r="J22" s="7">
        <f t="shared" si="0"/>
        <v>2.5409999999999999</v>
      </c>
    </row>
    <row r="23" spans="1:10" x14ac:dyDescent="0.35">
      <c r="A23" s="2">
        <v>4</v>
      </c>
      <c r="B23" s="2">
        <v>0</v>
      </c>
      <c r="C23" s="2">
        <v>30</v>
      </c>
      <c r="D23" s="3">
        <v>1000</v>
      </c>
      <c r="E23" s="4">
        <v>9.5</v>
      </c>
      <c r="F23" s="5">
        <v>0.223</v>
      </c>
      <c r="G23" s="5">
        <v>4.6109999999999998</v>
      </c>
      <c r="H23" s="6">
        <v>0.05</v>
      </c>
      <c r="I23" s="6">
        <v>3.6</v>
      </c>
      <c r="J23" s="7">
        <f t="shared" si="0"/>
        <v>0.95</v>
      </c>
    </row>
    <row r="24" spans="1:10" x14ac:dyDescent="0.35">
      <c r="A24" s="2">
        <v>4</v>
      </c>
      <c r="B24" s="2">
        <v>0</v>
      </c>
      <c r="C24" s="2">
        <v>30</v>
      </c>
      <c r="D24" s="3">
        <v>10000</v>
      </c>
      <c r="E24" s="4">
        <v>17.399999999999999</v>
      </c>
      <c r="F24" s="5">
        <v>0.245</v>
      </c>
      <c r="G24" s="5">
        <v>4.6449999999999996</v>
      </c>
      <c r="H24" s="6">
        <v>0.05</v>
      </c>
      <c r="I24" s="6">
        <v>3.6</v>
      </c>
      <c r="J24" s="7">
        <f t="shared" si="0"/>
        <v>0.17399999999999999</v>
      </c>
    </row>
    <row r="25" spans="1:10" x14ac:dyDescent="0.35">
      <c r="A25" s="2">
        <v>4</v>
      </c>
      <c r="B25" s="2">
        <v>0</v>
      </c>
      <c r="C25" s="2">
        <v>30</v>
      </c>
      <c r="D25" s="3">
        <v>30000</v>
      </c>
      <c r="E25" s="4">
        <v>19.100000000000001</v>
      </c>
      <c r="F25" s="5">
        <v>0.35199999999999998</v>
      </c>
      <c r="G25" s="5">
        <v>3.92</v>
      </c>
      <c r="H25" s="6">
        <v>0.09</v>
      </c>
      <c r="I25" s="6">
        <v>3.6</v>
      </c>
      <c r="J25" s="7">
        <f t="shared" si="0"/>
        <v>6.3666666666666663E-2</v>
      </c>
    </row>
    <row r="26" spans="1:10" x14ac:dyDescent="0.35">
      <c r="A26" s="2">
        <v>4</v>
      </c>
      <c r="B26" s="2">
        <v>0</v>
      </c>
      <c r="C26" s="2">
        <v>40</v>
      </c>
      <c r="D26" s="3">
        <v>1000</v>
      </c>
      <c r="E26" s="4">
        <v>7.3</v>
      </c>
      <c r="F26" s="5">
        <v>0.216</v>
      </c>
      <c r="G26" s="5">
        <v>4.6390000000000002</v>
      </c>
      <c r="H26" s="6">
        <v>0.05</v>
      </c>
      <c r="I26" s="6">
        <v>3.56</v>
      </c>
      <c r="J26" s="7">
        <f t="shared" si="0"/>
        <v>0.73</v>
      </c>
    </row>
    <row r="27" spans="1:10" x14ac:dyDescent="0.35">
      <c r="A27" s="2">
        <v>4</v>
      </c>
      <c r="B27" s="2">
        <v>0</v>
      </c>
      <c r="C27" s="2">
        <v>40</v>
      </c>
      <c r="D27" s="3">
        <v>10000</v>
      </c>
      <c r="E27" s="4">
        <v>79.400000000000006</v>
      </c>
      <c r="F27" s="5">
        <v>0.26200000000000001</v>
      </c>
      <c r="G27" s="5">
        <v>3.9950000000000001</v>
      </c>
      <c r="H27" s="6">
        <v>7.0000000000000007E-2</v>
      </c>
      <c r="I27" s="6">
        <v>3.56</v>
      </c>
      <c r="J27" s="7">
        <f t="shared" si="0"/>
        <v>0.79400000000000004</v>
      </c>
    </row>
    <row r="28" spans="1:10" x14ac:dyDescent="0.35">
      <c r="A28" s="2">
        <v>4</v>
      </c>
      <c r="B28" s="2">
        <v>0</v>
      </c>
      <c r="C28" s="2">
        <v>40</v>
      </c>
      <c r="D28" s="3">
        <v>30000</v>
      </c>
      <c r="E28" s="4">
        <v>4.4000000000000004</v>
      </c>
      <c r="F28" s="5">
        <v>0.27300000000000002</v>
      </c>
      <c r="G28" s="5">
        <v>4.149</v>
      </c>
      <c r="H28" s="6">
        <v>7.0000000000000007E-2</v>
      </c>
      <c r="I28" s="6">
        <v>3.56</v>
      </c>
      <c r="J28" s="7">
        <f t="shared" si="0"/>
        <v>1.4666666666666668E-2</v>
      </c>
    </row>
    <row r="29" spans="1:10" x14ac:dyDescent="0.35">
      <c r="A29" s="2">
        <v>1</v>
      </c>
      <c r="B29" s="2">
        <v>1</v>
      </c>
      <c r="C29" s="2">
        <v>20</v>
      </c>
      <c r="D29" s="3">
        <v>1000</v>
      </c>
      <c r="E29" s="4">
        <v>1.8</v>
      </c>
      <c r="F29" s="5">
        <v>0.13500000000000001</v>
      </c>
      <c r="G29" s="5">
        <v>5.1150000000000002</v>
      </c>
      <c r="H29" s="6">
        <v>0.03</v>
      </c>
      <c r="I29" s="6">
        <v>3.6</v>
      </c>
      <c r="J29" s="7">
        <f t="shared" si="0"/>
        <v>0.18</v>
      </c>
    </row>
    <row r="30" spans="1:10" x14ac:dyDescent="0.35">
      <c r="A30" s="2">
        <v>1</v>
      </c>
      <c r="B30" s="2">
        <v>1</v>
      </c>
      <c r="C30" s="2">
        <v>20</v>
      </c>
      <c r="D30" s="3">
        <v>10000</v>
      </c>
      <c r="E30" s="4">
        <v>22.7</v>
      </c>
      <c r="F30" s="5">
        <v>0.16500000000000001</v>
      </c>
      <c r="G30" s="5">
        <v>3.7589999999999999</v>
      </c>
      <c r="H30" s="6">
        <v>0.04</v>
      </c>
      <c r="I30" s="6">
        <v>3.6</v>
      </c>
      <c r="J30" s="7">
        <f t="shared" si="0"/>
        <v>0.22699999999999998</v>
      </c>
    </row>
    <row r="31" spans="1:10" x14ac:dyDescent="0.35">
      <c r="A31" s="2">
        <v>1</v>
      </c>
      <c r="B31" s="2">
        <v>1</v>
      </c>
      <c r="C31" s="2">
        <v>20</v>
      </c>
      <c r="D31" s="3">
        <v>30000</v>
      </c>
      <c r="E31" s="4">
        <v>64.8</v>
      </c>
      <c r="F31" s="5">
        <v>0.18</v>
      </c>
      <c r="G31" s="5">
        <v>2.9820000000000002</v>
      </c>
      <c r="H31" s="6">
        <v>0.06</v>
      </c>
      <c r="I31" s="6">
        <v>3.6</v>
      </c>
      <c r="J31" s="7">
        <f t="shared" si="0"/>
        <v>0.216</v>
      </c>
    </row>
    <row r="32" spans="1:10" x14ac:dyDescent="0.35">
      <c r="A32" s="2">
        <v>1</v>
      </c>
      <c r="B32" s="2">
        <v>1</v>
      </c>
      <c r="C32" s="2">
        <v>30</v>
      </c>
      <c r="D32" s="3">
        <v>1000</v>
      </c>
      <c r="E32" s="4">
        <v>4.9000000000000004</v>
      </c>
      <c r="F32" s="5">
        <v>0.14000000000000001</v>
      </c>
      <c r="G32" s="5">
        <v>3.86</v>
      </c>
      <c r="H32" s="6">
        <v>0.04</v>
      </c>
      <c r="I32" s="6">
        <v>3.6</v>
      </c>
      <c r="J32" s="7">
        <f t="shared" si="0"/>
        <v>0.49000000000000005</v>
      </c>
    </row>
    <row r="33" spans="1:10" x14ac:dyDescent="0.35">
      <c r="A33" s="2">
        <v>1</v>
      </c>
      <c r="B33" s="2">
        <v>1</v>
      </c>
      <c r="C33" s="2">
        <v>30</v>
      </c>
      <c r="D33" s="3">
        <v>10000</v>
      </c>
      <c r="E33" s="4">
        <v>4.4000000000000004</v>
      </c>
      <c r="F33" s="5">
        <v>0.14399999999999999</v>
      </c>
      <c r="G33" s="5">
        <v>3.4969999999999999</v>
      </c>
      <c r="H33" s="6">
        <v>0.04</v>
      </c>
      <c r="I33" s="6">
        <v>3.6</v>
      </c>
      <c r="J33" s="7">
        <f t="shared" si="0"/>
        <v>4.4000000000000004E-2</v>
      </c>
    </row>
    <row r="34" spans="1:10" x14ac:dyDescent="0.35">
      <c r="A34" s="2">
        <v>1</v>
      </c>
      <c r="B34" s="2">
        <v>1</v>
      </c>
      <c r="C34" s="2">
        <v>30</v>
      </c>
      <c r="D34" s="3">
        <v>30000</v>
      </c>
      <c r="E34" s="4">
        <v>21.8</v>
      </c>
      <c r="F34" s="5">
        <v>0.19800000000000001</v>
      </c>
      <c r="G34" s="5">
        <v>2.1269999999999998</v>
      </c>
      <c r="H34" s="6">
        <v>0.09</v>
      </c>
      <c r="I34" s="6">
        <v>3.6</v>
      </c>
      <c r="J34" s="7">
        <f t="shared" si="0"/>
        <v>7.2666666666666671E-2</v>
      </c>
    </row>
    <row r="35" spans="1:10" x14ac:dyDescent="0.35">
      <c r="A35" s="2">
        <v>1</v>
      </c>
      <c r="B35" s="2">
        <v>1</v>
      </c>
      <c r="C35" s="2">
        <v>40</v>
      </c>
      <c r="D35" s="3">
        <v>1000</v>
      </c>
      <c r="E35" s="4">
        <v>1</v>
      </c>
      <c r="F35" s="5">
        <v>0.105</v>
      </c>
      <c r="G35" s="5">
        <v>4.0709999999999997</v>
      </c>
      <c r="H35" s="6">
        <v>0.03</v>
      </c>
      <c r="I35" s="6">
        <v>3.56</v>
      </c>
      <c r="J35" s="7">
        <f t="shared" si="0"/>
        <v>0.1</v>
      </c>
    </row>
    <row r="36" spans="1:10" x14ac:dyDescent="0.35">
      <c r="A36" s="2">
        <v>1</v>
      </c>
      <c r="B36" s="2">
        <v>1</v>
      </c>
      <c r="C36" s="2">
        <v>40</v>
      </c>
      <c r="D36" s="3">
        <v>10000</v>
      </c>
      <c r="E36" s="4">
        <v>1</v>
      </c>
      <c r="F36" s="5">
        <v>0.111</v>
      </c>
      <c r="G36" s="5">
        <v>4.09</v>
      </c>
      <c r="H36" s="6">
        <v>0.03</v>
      </c>
      <c r="I36" s="6">
        <v>3.56</v>
      </c>
      <c r="J36" s="7">
        <f t="shared" si="0"/>
        <v>0.01</v>
      </c>
    </row>
    <row r="37" spans="1:10" x14ac:dyDescent="0.35">
      <c r="A37" s="2">
        <v>1</v>
      </c>
      <c r="B37" s="2">
        <v>1</v>
      </c>
      <c r="C37" s="2">
        <v>40</v>
      </c>
      <c r="D37" s="3">
        <v>30000</v>
      </c>
      <c r="E37" s="4">
        <v>1</v>
      </c>
      <c r="F37" s="5">
        <v>0.126</v>
      </c>
      <c r="G37" s="5">
        <v>3.8759999999999999</v>
      </c>
      <c r="H37" s="6">
        <v>0.03</v>
      </c>
      <c r="I37" s="6">
        <v>3.56</v>
      </c>
      <c r="J37" s="7">
        <f t="shared" si="0"/>
        <v>3.3333333333333335E-3</v>
      </c>
    </row>
    <row r="38" spans="1:10" x14ac:dyDescent="0.35">
      <c r="A38" s="2">
        <v>2</v>
      </c>
      <c r="B38" s="2">
        <v>1</v>
      </c>
      <c r="C38" s="2">
        <v>20</v>
      </c>
      <c r="D38" s="3">
        <v>1000</v>
      </c>
      <c r="E38" s="4">
        <v>15.2</v>
      </c>
      <c r="F38" s="5">
        <v>0.19</v>
      </c>
      <c r="G38" s="5">
        <v>4.3570000000000002</v>
      </c>
      <c r="H38" s="6">
        <v>0.04</v>
      </c>
      <c r="I38" s="6">
        <v>3.6</v>
      </c>
      <c r="J38" s="7">
        <f t="shared" si="0"/>
        <v>1.52</v>
      </c>
    </row>
    <row r="39" spans="1:10" x14ac:dyDescent="0.35">
      <c r="A39" s="2">
        <v>2</v>
      </c>
      <c r="B39" s="2">
        <v>1</v>
      </c>
      <c r="C39" s="2">
        <v>20</v>
      </c>
      <c r="D39" s="3">
        <v>10000</v>
      </c>
      <c r="E39" s="4">
        <v>9.3000000000000007</v>
      </c>
      <c r="F39" s="5">
        <v>0.21299999999999999</v>
      </c>
      <c r="G39" s="5">
        <v>3.7850000000000001</v>
      </c>
      <c r="H39" s="6">
        <v>0.06</v>
      </c>
      <c r="I39" s="6">
        <v>3.6</v>
      </c>
      <c r="J39" s="7">
        <f t="shared" si="0"/>
        <v>9.2999999999999999E-2</v>
      </c>
    </row>
    <row r="40" spans="1:10" x14ac:dyDescent="0.35">
      <c r="A40" s="2">
        <v>2</v>
      </c>
      <c r="B40" s="2">
        <v>1</v>
      </c>
      <c r="C40" s="2">
        <v>20</v>
      </c>
      <c r="D40" s="3">
        <v>30000</v>
      </c>
      <c r="E40" s="4">
        <v>139.5</v>
      </c>
      <c r="F40" s="5">
        <v>0.251</v>
      </c>
      <c r="G40" s="5">
        <v>3.5409999999999999</v>
      </c>
      <c r="H40" s="6">
        <v>7.0000000000000007E-2</v>
      </c>
      <c r="I40" s="6">
        <v>3.6</v>
      </c>
      <c r="J40" s="7">
        <f t="shared" si="0"/>
        <v>0.46499999999999997</v>
      </c>
    </row>
    <row r="41" spans="1:10" x14ac:dyDescent="0.35">
      <c r="A41" s="2">
        <v>2</v>
      </c>
      <c r="B41" s="2">
        <v>1</v>
      </c>
      <c r="C41" s="2">
        <v>30</v>
      </c>
      <c r="D41" s="3">
        <v>1000</v>
      </c>
      <c r="E41" s="4">
        <v>2.2000000000000002</v>
      </c>
      <c r="F41" s="5">
        <v>0.16500000000000001</v>
      </c>
      <c r="G41" s="5">
        <v>4.0019999999999998</v>
      </c>
      <c r="H41" s="6">
        <v>0.04</v>
      </c>
      <c r="I41" s="6">
        <v>3.6</v>
      </c>
      <c r="J41" s="7">
        <f t="shared" si="0"/>
        <v>0.22</v>
      </c>
    </row>
    <row r="42" spans="1:10" x14ac:dyDescent="0.35">
      <c r="A42" s="2">
        <v>2</v>
      </c>
      <c r="B42" s="2">
        <v>1</v>
      </c>
      <c r="C42" s="2">
        <v>30</v>
      </c>
      <c r="D42" s="3">
        <v>10000</v>
      </c>
      <c r="E42" s="4">
        <v>10.199999999999999</v>
      </c>
      <c r="F42" s="5">
        <v>0.189</v>
      </c>
      <c r="G42" s="5">
        <v>4.3499999999999996</v>
      </c>
      <c r="H42" s="6">
        <v>0.04</v>
      </c>
      <c r="I42" s="6">
        <v>3.6</v>
      </c>
      <c r="J42" s="7">
        <f t="shared" si="0"/>
        <v>0.10199999999999998</v>
      </c>
    </row>
    <row r="43" spans="1:10" x14ac:dyDescent="0.35">
      <c r="A43" s="2">
        <v>2</v>
      </c>
      <c r="B43" s="2">
        <v>1</v>
      </c>
      <c r="C43" s="2">
        <v>30</v>
      </c>
      <c r="D43" s="3">
        <v>30000</v>
      </c>
      <c r="E43" s="4">
        <v>89.8</v>
      </c>
      <c r="F43" s="5">
        <v>0.19</v>
      </c>
      <c r="G43" s="5">
        <v>4.0599999999999996</v>
      </c>
      <c r="H43" s="6">
        <v>0.05</v>
      </c>
      <c r="I43" s="6">
        <v>3.6</v>
      </c>
      <c r="J43" s="7">
        <f t="shared" si="0"/>
        <v>0.29933333333333328</v>
      </c>
    </row>
    <row r="44" spans="1:10" x14ac:dyDescent="0.35">
      <c r="A44" s="2">
        <v>2</v>
      </c>
      <c r="B44" s="2">
        <v>1</v>
      </c>
      <c r="C44" s="2">
        <v>40</v>
      </c>
      <c r="D44" s="3">
        <v>1000</v>
      </c>
      <c r="E44" s="4">
        <v>2.9</v>
      </c>
      <c r="F44" s="5">
        <v>0.161</v>
      </c>
      <c r="G44" s="5">
        <v>4.085</v>
      </c>
      <c r="H44" s="6">
        <v>0.04</v>
      </c>
      <c r="I44" s="6">
        <v>3.56</v>
      </c>
      <c r="J44" s="7">
        <f t="shared" si="0"/>
        <v>0.28999999999999998</v>
      </c>
    </row>
    <row r="45" spans="1:10" x14ac:dyDescent="0.35">
      <c r="A45" s="2">
        <v>2</v>
      </c>
      <c r="B45" s="2">
        <v>1</v>
      </c>
      <c r="C45" s="2">
        <v>40</v>
      </c>
      <c r="D45" s="3">
        <v>10000</v>
      </c>
      <c r="E45" s="4">
        <v>8.6</v>
      </c>
      <c r="F45" s="5">
        <v>0.188</v>
      </c>
      <c r="G45" s="5">
        <v>4.2220000000000004</v>
      </c>
      <c r="H45" s="6">
        <v>0.04</v>
      </c>
      <c r="I45" s="6">
        <v>3.56</v>
      </c>
      <c r="J45" s="7">
        <f t="shared" si="0"/>
        <v>8.5999999999999993E-2</v>
      </c>
    </row>
    <row r="46" spans="1:10" x14ac:dyDescent="0.35">
      <c r="A46" s="2">
        <v>2</v>
      </c>
      <c r="B46" s="2">
        <v>1</v>
      </c>
      <c r="C46" s="2">
        <v>40</v>
      </c>
      <c r="D46" s="3">
        <v>30000</v>
      </c>
      <c r="E46" s="4">
        <v>32.4</v>
      </c>
      <c r="F46" s="5">
        <v>0.19400000000000001</v>
      </c>
      <c r="G46" s="5">
        <v>3.6709999999999998</v>
      </c>
      <c r="H46" s="6">
        <v>0.05</v>
      </c>
      <c r="I46" s="6">
        <v>3.56</v>
      </c>
      <c r="J46" s="7">
        <f t="shared" si="0"/>
        <v>0.108</v>
      </c>
    </row>
    <row r="47" spans="1:10" x14ac:dyDescent="0.35">
      <c r="A47" s="2">
        <v>4</v>
      </c>
      <c r="B47" s="2">
        <v>1</v>
      </c>
      <c r="C47" s="2">
        <v>20</v>
      </c>
      <c r="D47" s="3">
        <v>1000</v>
      </c>
      <c r="E47" s="4">
        <v>30.2</v>
      </c>
      <c r="F47" s="5">
        <v>0.24399999999999999</v>
      </c>
      <c r="G47" s="5">
        <v>4.7670000000000003</v>
      </c>
      <c r="H47" s="6">
        <v>0.05</v>
      </c>
      <c r="I47" s="6">
        <v>3.6</v>
      </c>
      <c r="J47" s="7">
        <f t="shared" si="0"/>
        <v>3.0199999999999996</v>
      </c>
    </row>
    <row r="48" spans="1:10" x14ac:dyDescent="0.35">
      <c r="A48" s="2">
        <v>4</v>
      </c>
      <c r="B48" s="2">
        <v>1</v>
      </c>
      <c r="C48" s="2">
        <v>20</v>
      </c>
      <c r="D48" s="3">
        <v>10000</v>
      </c>
      <c r="E48" s="4">
        <v>69.7</v>
      </c>
      <c r="F48" s="5">
        <v>0.29499999999999998</v>
      </c>
      <c r="G48" s="5">
        <v>4.1459999999999999</v>
      </c>
      <c r="H48" s="6">
        <v>7.0000000000000007E-2</v>
      </c>
      <c r="I48" s="6">
        <v>3.6</v>
      </c>
      <c r="J48" s="7">
        <f t="shared" si="0"/>
        <v>0.69700000000000006</v>
      </c>
    </row>
    <row r="49" spans="1:10" x14ac:dyDescent="0.35">
      <c r="A49" s="2">
        <v>4</v>
      </c>
      <c r="B49" s="2">
        <v>1</v>
      </c>
      <c r="C49" s="2">
        <v>20</v>
      </c>
      <c r="D49" s="3">
        <v>30000</v>
      </c>
      <c r="E49" s="4">
        <v>98.7</v>
      </c>
      <c r="F49" s="5">
        <v>0.41099999999999998</v>
      </c>
      <c r="G49" s="5">
        <v>3.996</v>
      </c>
      <c r="H49" s="6">
        <v>0.1</v>
      </c>
      <c r="I49" s="6">
        <v>3.6</v>
      </c>
      <c r="J49" s="7">
        <f t="shared" si="0"/>
        <v>0.32900000000000001</v>
      </c>
    </row>
    <row r="50" spans="1:10" x14ac:dyDescent="0.35">
      <c r="A50" s="2">
        <v>4</v>
      </c>
      <c r="B50" s="2">
        <v>1</v>
      </c>
      <c r="C50" s="2">
        <v>30</v>
      </c>
      <c r="D50" s="3">
        <v>1000</v>
      </c>
      <c r="E50" s="4">
        <v>2.4</v>
      </c>
      <c r="F50" s="5">
        <v>0.22900000000000001</v>
      </c>
      <c r="G50" s="5">
        <v>4.2309999999999999</v>
      </c>
      <c r="H50" s="6">
        <v>0.05</v>
      </c>
      <c r="I50" s="6">
        <v>3.6</v>
      </c>
      <c r="J50" s="7">
        <f t="shared" si="0"/>
        <v>0.24</v>
      </c>
    </row>
    <row r="51" spans="1:10" x14ac:dyDescent="0.35">
      <c r="A51" s="2">
        <v>4</v>
      </c>
      <c r="B51" s="2">
        <v>1</v>
      </c>
      <c r="C51" s="2">
        <v>30</v>
      </c>
      <c r="D51" s="3">
        <v>10000</v>
      </c>
      <c r="E51" s="4">
        <v>50.3</v>
      </c>
      <c r="F51" s="5">
        <v>0.22600000000000001</v>
      </c>
      <c r="G51" s="5">
        <v>4.952</v>
      </c>
      <c r="H51" s="6">
        <v>0.05</v>
      </c>
      <c r="I51" s="6">
        <v>3.6</v>
      </c>
      <c r="J51" s="7">
        <f t="shared" si="0"/>
        <v>0.503</v>
      </c>
    </row>
    <row r="52" spans="1:10" x14ac:dyDescent="0.35">
      <c r="A52" s="2">
        <v>4</v>
      </c>
      <c r="B52" s="2">
        <v>1</v>
      </c>
      <c r="C52" s="2">
        <v>30</v>
      </c>
      <c r="D52" s="3">
        <v>30000</v>
      </c>
      <c r="E52" s="4">
        <v>70.400000000000006</v>
      </c>
      <c r="F52" s="5">
        <v>0.253</v>
      </c>
      <c r="G52" s="5">
        <v>4.2510000000000003</v>
      </c>
      <c r="H52" s="6">
        <v>0.06</v>
      </c>
      <c r="I52" s="6">
        <v>3.6</v>
      </c>
      <c r="J52" s="7">
        <f t="shared" si="0"/>
        <v>0.23466666666666669</v>
      </c>
    </row>
    <row r="53" spans="1:10" x14ac:dyDescent="0.35">
      <c r="A53" s="2">
        <v>4</v>
      </c>
      <c r="B53" s="2">
        <v>1</v>
      </c>
      <c r="C53" s="2">
        <v>40</v>
      </c>
      <c r="D53" s="3">
        <v>1000</v>
      </c>
      <c r="E53" s="4">
        <v>7.2</v>
      </c>
      <c r="F53" s="5">
        <v>0.20799999999999999</v>
      </c>
      <c r="G53" s="5">
        <v>4.4080000000000004</v>
      </c>
      <c r="H53" s="6">
        <v>0.05</v>
      </c>
      <c r="I53" s="6">
        <v>3.56</v>
      </c>
      <c r="J53" s="7">
        <f t="shared" si="0"/>
        <v>0.72</v>
      </c>
    </row>
    <row r="54" spans="1:10" x14ac:dyDescent="0.35">
      <c r="A54" s="2">
        <v>4</v>
      </c>
      <c r="B54" s="2">
        <v>1</v>
      </c>
      <c r="C54" s="2">
        <v>40</v>
      </c>
      <c r="D54" s="3">
        <v>10000</v>
      </c>
      <c r="E54" s="4">
        <v>23.7</v>
      </c>
      <c r="F54" s="5">
        <v>0.24299999999999999</v>
      </c>
      <c r="G54" s="5">
        <v>4.1100000000000003</v>
      </c>
      <c r="H54" s="6">
        <v>0.06</v>
      </c>
      <c r="I54" s="6">
        <v>3.56</v>
      </c>
      <c r="J54" s="7">
        <f t="shared" si="0"/>
        <v>0.23700000000000002</v>
      </c>
    </row>
    <row r="55" spans="1:10" x14ac:dyDescent="0.35">
      <c r="A55" s="2">
        <v>4</v>
      </c>
      <c r="B55" s="2">
        <v>1</v>
      </c>
      <c r="C55" s="2">
        <v>40</v>
      </c>
      <c r="D55" s="3">
        <v>30000</v>
      </c>
      <c r="E55" s="4">
        <v>2.4</v>
      </c>
      <c r="F55" s="5">
        <v>0.248</v>
      </c>
      <c r="G55" s="5">
        <v>4.4409999999999998</v>
      </c>
      <c r="H55" s="6">
        <v>0.06</v>
      </c>
      <c r="I55" s="6">
        <v>3.56</v>
      </c>
      <c r="J55" s="7">
        <f t="shared" si="0"/>
        <v>8.0000000000000002E-3</v>
      </c>
    </row>
    <row r="56" spans="1:10" x14ac:dyDescent="0.35">
      <c r="A56" s="2">
        <v>1</v>
      </c>
      <c r="B56" s="2">
        <v>2</v>
      </c>
      <c r="C56" s="2">
        <v>20</v>
      </c>
      <c r="D56" s="3">
        <v>1000</v>
      </c>
      <c r="E56" s="4">
        <v>1.3</v>
      </c>
      <c r="F56" s="5">
        <v>0.14299999999999999</v>
      </c>
      <c r="G56" s="5">
        <v>4.0590000000000002</v>
      </c>
      <c r="H56" s="6">
        <v>0.04</v>
      </c>
      <c r="I56" s="6">
        <v>3.6</v>
      </c>
      <c r="J56" s="7">
        <f t="shared" si="0"/>
        <v>0.13</v>
      </c>
    </row>
    <row r="57" spans="1:10" x14ac:dyDescent="0.35">
      <c r="A57" s="2">
        <v>1</v>
      </c>
      <c r="B57" s="2">
        <v>2</v>
      </c>
      <c r="C57" s="2">
        <v>20</v>
      </c>
      <c r="D57" s="3">
        <v>10000</v>
      </c>
      <c r="E57" s="4">
        <v>3.4</v>
      </c>
      <c r="F57" s="5">
        <v>0.17599999999999999</v>
      </c>
      <c r="G57" s="5">
        <v>3.819</v>
      </c>
      <c r="H57" s="6">
        <v>0.05</v>
      </c>
      <c r="I57" s="6">
        <v>3.6</v>
      </c>
      <c r="J57" s="7">
        <f t="shared" si="0"/>
        <v>3.3999999999999996E-2</v>
      </c>
    </row>
    <row r="58" spans="1:10" x14ac:dyDescent="0.35">
      <c r="A58" s="2">
        <v>1</v>
      </c>
      <c r="B58" s="2">
        <v>2</v>
      </c>
      <c r="C58" s="2">
        <v>20</v>
      </c>
      <c r="D58" s="3">
        <v>30000</v>
      </c>
      <c r="E58" s="4">
        <v>12.2</v>
      </c>
      <c r="F58" s="5">
        <v>0.26500000000000001</v>
      </c>
      <c r="G58" s="5">
        <v>0.25600000000000001</v>
      </c>
      <c r="H58" s="6">
        <v>1.04</v>
      </c>
      <c r="I58" s="6">
        <v>3.6</v>
      </c>
      <c r="J58" s="7">
        <f t="shared" si="0"/>
        <v>4.0666666666666663E-2</v>
      </c>
    </row>
    <row r="59" spans="1:10" x14ac:dyDescent="0.35">
      <c r="A59" s="2">
        <v>1</v>
      </c>
      <c r="B59" s="2">
        <v>2</v>
      </c>
      <c r="C59" s="2">
        <v>30</v>
      </c>
      <c r="D59" s="3">
        <v>1000</v>
      </c>
      <c r="E59" s="4">
        <v>2.9</v>
      </c>
      <c r="F59" s="5">
        <v>0.14000000000000001</v>
      </c>
      <c r="G59" s="5">
        <v>4.3689999999999998</v>
      </c>
      <c r="H59" s="6">
        <v>0.03</v>
      </c>
      <c r="I59" s="6">
        <v>3.6</v>
      </c>
      <c r="J59" s="7">
        <f t="shared" si="0"/>
        <v>0.28999999999999998</v>
      </c>
    </row>
    <row r="60" spans="1:10" x14ac:dyDescent="0.35">
      <c r="A60" s="2">
        <v>1</v>
      </c>
      <c r="B60" s="2">
        <v>2</v>
      </c>
      <c r="C60" s="2">
        <v>30</v>
      </c>
      <c r="D60" s="3">
        <v>10000</v>
      </c>
      <c r="E60" s="4">
        <v>12.9</v>
      </c>
      <c r="F60" s="5">
        <v>0.158</v>
      </c>
      <c r="G60" s="5">
        <v>3.379</v>
      </c>
      <c r="H60" s="6">
        <v>0.05</v>
      </c>
      <c r="I60" s="6">
        <v>3.6</v>
      </c>
      <c r="J60" s="7">
        <f t="shared" si="0"/>
        <v>0.129</v>
      </c>
    </row>
    <row r="61" spans="1:10" x14ac:dyDescent="0.35">
      <c r="A61" s="2">
        <v>1</v>
      </c>
      <c r="B61" s="2">
        <v>2</v>
      </c>
      <c r="C61" s="2">
        <v>30</v>
      </c>
      <c r="D61" s="3">
        <v>30000</v>
      </c>
      <c r="E61" s="4">
        <v>8.9</v>
      </c>
      <c r="F61" s="5">
        <v>0.156</v>
      </c>
      <c r="G61" s="5">
        <v>3.8149999999999999</v>
      </c>
      <c r="H61" s="6">
        <v>0.04</v>
      </c>
      <c r="I61" s="6">
        <v>3.6</v>
      </c>
      <c r="J61" s="7">
        <f t="shared" si="0"/>
        <v>2.9666666666666671E-2</v>
      </c>
    </row>
    <row r="62" spans="1:10" x14ac:dyDescent="0.35">
      <c r="A62" s="2">
        <v>1</v>
      </c>
      <c r="B62" s="2">
        <v>2</v>
      </c>
      <c r="C62" s="2">
        <v>40</v>
      </c>
      <c r="D62" s="3">
        <v>1000</v>
      </c>
      <c r="E62" s="4">
        <v>1</v>
      </c>
      <c r="F62" s="5">
        <v>0.10299999999999999</v>
      </c>
      <c r="G62" s="5">
        <v>3.9950000000000001</v>
      </c>
      <c r="H62" s="6">
        <v>0.03</v>
      </c>
      <c r="I62" s="6">
        <v>3.56</v>
      </c>
      <c r="J62" s="7">
        <f t="shared" si="0"/>
        <v>0.1</v>
      </c>
    </row>
    <row r="63" spans="1:10" x14ac:dyDescent="0.35">
      <c r="A63" s="2">
        <v>1</v>
      </c>
      <c r="B63" s="2">
        <v>2</v>
      </c>
      <c r="C63" s="2">
        <v>40</v>
      </c>
      <c r="D63" s="3">
        <v>10000</v>
      </c>
      <c r="E63" s="4">
        <v>1</v>
      </c>
      <c r="F63" s="5">
        <v>0.11</v>
      </c>
      <c r="G63" s="5">
        <v>4.09</v>
      </c>
      <c r="H63" s="6">
        <v>0.03</v>
      </c>
      <c r="I63" s="6">
        <v>3.56</v>
      </c>
      <c r="J63" s="7">
        <f t="shared" si="0"/>
        <v>0.01</v>
      </c>
    </row>
    <row r="64" spans="1:10" x14ac:dyDescent="0.35">
      <c r="A64" s="2">
        <v>1</v>
      </c>
      <c r="B64" s="2">
        <v>2</v>
      </c>
      <c r="C64" s="2">
        <v>40</v>
      </c>
      <c r="D64" s="3">
        <v>30000</v>
      </c>
      <c r="E64" s="4">
        <v>1</v>
      </c>
      <c r="F64" s="5">
        <v>0.113</v>
      </c>
      <c r="G64" s="5">
        <v>3.4809999999999999</v>
      </c>
      <c r="H64" s="6">
        <v>0.03</v>
      </c>
      <c r="I64" s="6">
        <v>3.56</v>
      </c>
      <c r="J64" s="7">
        <f t="shared" si="0"/>
        <v>3.3333333333333335E-3</v>
      </c>
    </row>
    <row r="65" spans="1:10" x14ac:dyDescent="0.35">
      <c r="A65" s="2">
        <v>2</v>
      </c>
      <c r="B65" s="2">
        <v>2</v>
      </c>
      <c r="C65" s="2">
        <v>20</v>
      </c>
      <c r="D65" s="3">
        <v>1000</v>
      </c>
      <c r="E65" s="4">
        <v>2.6</v>
      </c>
      <c r="F65" s="5">
        <v>0.18</v>
      </c>
      <c r="G65" s="5">
        <v>4.7089999999999996</v>
      </c>
      <c r="H65" s="6">
        <v>0.04</v>
      </c>
      <c r="I65" s="6">
        <v>3.6</v>
      </c>
      <c r="J65" s="7">
        <f t="shared" si="0"/>
        <v>0.26</v>
      </c>
    </row>
    <row r="66" spans="1:10" x14ac:dyDescent="0.35">
      <c r="A66" s="2">
        <v>2</v>
      </c>
      <c r="B66" s="2">
        <v>2</v>
      </c>
      <c r="C66" s="2">
        <v>20</v>
      </c>
      <c r="D66" s="3">
        <v>10000</v>
      </c>
      <c r="E66" s="4">
        <v>12.4</v>
      </c>
      <c r="F66" s="5">
        <v>0.23899999999999999</v>
      </c>
      <c r="G66" s="5">
        <v>3.8279999999999998</v>
      </c>
      <c r="H66" s="6">
        <v>0.06</v>
      </c>
      <c r="I66" s="6">
        <v>3.6</v>
      </c>
      <c r="J66" s="7">
        <f t="shared" si="0"/>
        <v>0.124</v>
      </c>
    </row>
    <row r="67" spans="1:10" x14ac:dyDescent="0.35">
      <c r="A67" s="2">
        <v>2</v>
      </c>
      <c r="B67" s="2">
        <v>2</v>
      </c>
      <c r="C67" s="2">
        <v>20</v>
      </c>
      <c r="D67" s="3">
        <v>30000</v>
      </c>
      <c r="E67" s="4">
        <v>752.7</v>
      </c>
      <c r="F67" s="5">
        <v>0.35599999999999998</v>
      </c>
      <c r="G67" s="5">
        <v>0.31900000000000001</v>
      </c>
      <c r="H67" s="6">
        <v>1.1200000000000001</v>
      </c>
      <c r="I67" s="6">
        <v>3.6</v>
      </c>
      <c r="J67" s="7">
        <f t="shared" ref="J67:J82" si="1">E67/D67*100</f>
        <v>2.5090000000000003</v>
      </c>
    </row>
    <row r="68" spans="1:10" x14ac:dyDescent="0.35">
      <c r="A68" s="2">
        <v>2</v>
      </c>
      <c r="B68" s="2">
        <v>2</v>
      </c>
      <c r="C68" s="2">
        <v>30</v>
      </c>
      <c r="D68" s="3">
        <v>1000</v>
      </c>
      <c r="E68" s="4">
        <v>4</v>
      </c>
      <c r="F68" s="5">
        <v>0.187</v>
      </c>
      <c r="G68" s="5">
        <v>4.085</v>
      </c>
      <c r="H68" s="6">
        <v>0.05</v>
      </c>
      <c r="I68" s="6">
        <v>3.6</v>
      </c>
      <c r="J68" s="7">
        <f t="shared" si="1"/>
        <v>0.4</v>
      </c>
    </row>
    <row r="69" spans="1:10" x14ac:dyDescent="0.35">
      <c r="A69" s="2">
        <v>2</v>
      </c>
      <c r="B69" s="2">
        <v>2</v>
      </c>
      <c r="C69" s="2">
        <v>30</v>
      </c>
      <c r="D69" s="3">
        <v>10000</v>
      </c>
      <c r="E69" s="4">
        <v>13.1</v>
      </c>
      <c r="F69" s="5">
        <v>0.189</v>
      </c>
      <c r="G69" s="5">
        <v>4.2279999999999998</v>
      </c>
      <c r="H69" s="6">
        <v>0.04</v>
      </c>
      <c r="I69" s="6">
        <v>3.6</v>
      </c>
      <c r="J69" s="7">
        <f t="shared" si="1"/>
        <v>0.13100000000000001</v>
      </c>
    </row>
    <row r="70" spans="1:10" x14ac:dyDescent="0.35">
      <c r="A70" s="2">
        <v>2</v>
      </c>
      <c r="B70" s="2">
        <v>2</v>
      </c>
      <c r="C70" s="2">
        <v>30</v>
      </c>
      <c r="D70" s="3">
        <v>30000</v>
      </c>
      <c r="E70" s="4">
        <v>15.8</v>
      </c>
      <c r="F70" s="5">
        <v>0.23599999999999999</v>
      </c>
      <c r="G70" s="5">
        <v>3.883</v>
      </c>
      <c r="H70" s="6">
        <v>0.06</v>
      </c>
      <c r="I70" s="6">
        <v>3.6</v>
      </c>
      <c r="J70" s="7">
        <f t="shared" si="1"/>
        <v>5.2666666666666674E-2</v>
      </c>
    </row>
    <row r="71" spans="1:10" x14ac:dyDescent="0.35">
      <c r="A71" s="2">
        <v>2</v>
      </c>
      <c r="B71" s="2">
        <v>2</v>
      </c>
      <c r="C71" s="2">
        <v>40</v>
      </c>
      <c r="D71" s="3">
        <v>1000</v>
      </c>
      <c r="E71" s="4">
        <v>3</v>
      </c>
      <c r="F71" s="5">
        <v>0.13900000000000001</v>
      </c>
      <c r="G71" s="5">
        <v>4.6440000000000001</v>
      </c>
      <c r="H71" s="6">
        <v>0.03</v>
      </c>
      <c r="I71" s="6">
        <v>3.56</v>
      </c>
      <c r="J71" s="7">
        <f t="shared" si="1"/>
        <v>0.3</v>
      </c>
    </row>
    <row r="72" spans="1:10" x14ac:dyDescent="0.35">
      <c r="A72" s="2">
        <v>2</v>
      </c>
      <c r="B72" s="2">
        <v>2</v>
      </c>
      <c r="C72" s="2">
        <v>40</v>
      </c>
      <c r="D72" s="3">
        <v>10000</v>
      </c>
      <c r="E72" s="4">
        <v>40.1</v>
      </c>
      <c r="F72" s="5">
        <v>0.23</v>
      </c>
      <c r="G72" s="5">
        <v>3.5249999999999999</v>
      </c>
      <c r="H72" s="6">
        <v>7.0000000000000007E-2</v>
      </c>
      <c r="I72" s="6">
        <v>3.56</v>
      </c>
      <c r="J72" s="7">
        <f t="shared" si="1"/>
        <v>0.40100000000000008</v>
      </c>
    </row>
    <row r="73" spans="1:10" x14ac:dyDescent="0.35">
      <c r="A73" s="2">
        <v>2</v>
      </c>
      <c r="B73" s="2">
        <v>2</v>
      </c>
      <c r="C73" s="2">
        <v>40</v>
      </c>
      <c r="D73" s="3">
        <v>30000</v>
      </c>
      <c r="E73" s="4">
        <v>1</v>
      </c>
      <c r="F73" s="5">
        <v>0.192</v>
      </c>
      <c r="G73" s="5">
        <v>3.78</v>
      </c>
      <c r="H73" s="6">
        <v>0.05</v>
      </c>
      <c r="I73" s="6">
        <v>3.56</v>
      </c>
      <c r="J73" s="7">
        <f t="shared" si="1"/>
        <v>3.3333333333333335E-3</v>
      </c>
    </row>
    <row r="74" spans="1:10" x14ac:dyDescent="0.35">
      <c r="A74" s="2">
        <v>4</v>
      </c>
      <c r="B74" s="2">
        <v>2</v>
      </c>
      <c r="C74" s="2">
        <v>20</v>
      </c>
      <c r="D74" s="3">
        <v>1000</v>
      </c>
      <c r="E74" s="4">
        <v>6.3</v>
      </c>
      <c r="F74" s="5">
        <v>0.245</v>
      </c>
      <c r="G74" s="5">
        <v>4.3650000000000002</v>
      </c>
      <c r="H74" s="6">
        <v>0.06</v>
      </c>
      <c r="I74" s="6">
        <v>3.6</v>
      </c>
      <c r="J74" s="7">
        <f t="shared" si="1"/>
        <v>0.63</v>
      </c>
    </row>
    <row r="75" spans="1:10" x14ac:dyDescent="0.35">
      <c r="A75" s="2">
        <v>4</v>
      </c>
      <c r="B75" s="2">
        <v>2</v>
      </c>
      <c r="C75" s="2">
        <v>20</v>
      </c>
      <c r="D75" s="3">
        <v>10000</v>
      </c>
      <c r="E75" s="4">
        <v>6.6</v>
      </c>
      <c r="F75" s="5">
        <v>0.379</v>
      </c>
      <c r="G75" s="5">
        <v>3.8029999999999999</v>
      </c>
      <c r="H75" s="6">
        <v>0.1</v>
      </c>
      <c r="I75" s="6">
        <v>3.6</v>
      </c>
      <c r="J75" s="7">
        <f t="shared" si="1"/>
        <v>6.6000000000000003E-2</v>
      </c>
    </row>
    <row r="76" spans="1:10" x14ac:dyDescent="0.35">
      <c r="A76" s="2">
        <v>4</v>
      </c>
      <c r="B76" s="2">
        <v>2</v>
      </c>
      <c r="C76" s="2">
        <v>20</v>
      </c>
      <c r="D76" s="3">
        <v>30000</v>
      </c>
      <c r="E76" s="4">
        <v>1033.5</v>
      </c>
      <c r="F76" s="5">
        <v>0.504</v>
      </c>
      <c r="G76" s="5">
        <v>0.437</v>
      </c>
      <c r="H76" s="6">
        <v>1.1499999999999999</v>
      </c>
      <c r="I76" s="6">
        <v>3.6</v>
      </c>
      <c r="J76" s="7">
        <f t="shared" si="1"/>
        <v>3.4450000000000003</v>
      </c>
    </row>
    <row r="77" spans="1:10" x14ac:dyDescent="0.35">
      <c r="A77" s="2">
        <v>4</v>
      </c>
      <c r="B77" s="2">
        <v>2</v>
      </c>
      <c r="C77" s="2">
        <v>30</v>
      </c>
      <c r="D77" s="3">
        <v>1000</v>
      </c>
      <c r="E77" s="4">
        <v>1</v>
      </c>
      <c r="F77" s="5">
        <v>0.22800000000000001</v>
      </c>
      <c r="G77" s="5">
        <v>4.3019999999999996</v>
      </c>
      <c r="H77" s="6">
        <v>0.05</v>
      </c>
      <c r="I77" s="6">
        <v>3.6</v>
      </c>
      <c r="J77" s="7">
        <f t="shared" si="1"/>
        <v>0.1</v>
      </c>
    </row>
    <row r="78" spans="1:10" x14ac:dyDescent="0.35">
      <c r="A78" s="2">
        <v>4</v>
      </c>
      <c r="B78" s="2">
        <v>2</v>
      </c>
      <c r="C78" s="2">
        <v>30</v>
      </c>
      <c r="D78" s="3">
        <v>10000</v>
      </c>
      <c r="E78" s="4">
        <v>28.1</v>
      </c>
      <c r="F78" s="5">
        <v>0.28100000000000003</v>
      </c>
      <c r="G78" s="5">
        <v>3.6019999999999999</v>
      </c>
      <c r="H78" s="6">
        <v>0.08</v>
      </c>
      <c r="I78" s="6">
        <v>3.6</v>
      </c>
      <c r="J78" s="7">
        <f t="shared" si="1"/>
        <v>0.28100000000000003</v>
      </c>
    </row>
    <row r="79" spans="1:10" x14ac:dyDescent="0.35">
      <c r="A79" s="2">
        <v>4</v>
      </c>
      <c r="B79" s="2">
        <v>2</v>
      </c>
      <c r="C79" s="2">
        <v>30</v>
      </c>
      <c r="D79" s="3">
        <v>30000</v>
      </c>
      <c r="E79" s="4">
        <v>22.4</v>
      </c>
      <c r="F79" s="5">
        <v>0.29499999999999998</v>
      </c>
      <c r="G79" s="5">
        <v>4.2140000000000004</v>
      </c>
      <c r="H79" s="6">
        <v>7.0000000000000007E-2</v>
      </c>
      <c r="I79" s="6">
        <v>3.6</v>
      </c>
      <c r="J79" s="7">
        <f t="shared" si="1"/>
        <v>7.4666666666666659E-2</v>
      </c>
    </row>
    <row r="80" spans="1:10" x14ac:dyDescent="0.35">
      <c r="A80" s="2">
        <v>4</v>
      </c>
      <c r="B80" s="2">
        <v>2</v>
      </c>
      <c r="C80" s="2">
        <v>40</v>
      </c>
      <c r="D80" s="3">
        <v>1000</v>
      </c>
      <c r="E80" s="4">
        <v>8.8000000000000007</v>
      </c>
      <c r="F80" s="5">
        <v>0.20200000000000001</v>
      </c>
      <c r="G80" s="5">
        <v>4.1100000000000003</v>
      </c>
      <c r="H80" s="6">
        <v>0.05</v>
      </c>
      <c r="I80" s="6">
        <v>3.56</v>
      </c>
      <c r="J80" s="7">
        <f t="shared" si="1"/>
        <v>0.88</v>
      </c>
    </row>
    <row r="81" spans="1:12" x14ac:dyDescent="0.35">
      <c r="A81" s="2">
        <v>4</v>
      </c>
      <c r="B81" s="2">
        <v>2</v>
      </c>
      <c r="C81" s="2">
        <v>40</v>
      </c>
      <c r="D81" s="3">
        <v>10000</v>
      </c>
      <c r="E81" s="4">
        <v>5.4</v>
      </c>
      <c r="F81" s="5">
        <v>0.26400000000000001</v>
      </c>
      <c r="G81" s="5">
        <v>4.2670000000000003</v>
      </c>
      <c r="H81" s="6">
        <v>0.06</v>
      </c>
      <c r="I81" s="6">
        <v>3.56</v>
      </c>
      <c r="J81" s="7">
        <f t="shared" si="1"/>
        <v>5.3999999999999999E-2</v>
      </c>
    </row>
    <row r="82" spans="1:12" x14ac:dyDescent="0.35">
      <c r="A82" s="2">
        <v>4</v>
      </c>
      <c r="B82" s="2">
        <v>2</v>
      </c>
      <c r="C82" s="2">
        <v>40</v>
      </c>
      <c r="D82" s="3">
        <v>30000</v>
      </c>
      <c r="E82" s="4">
        <v>55.1</v>
      </c>
      <c r="F82" s="5">
        <v>0.253</v>
      </c>
      <c r="G82" s="5">
        <v>3.95</v>
      </c>
      <c r="H82" s="6">
        <v>0.06</v>
      </c>
      <c r="I82" s="6">
        <v>3.56</v>
      </c>
      <c r="J82" s="7">
        <f t="shared" si="1"/>
        <v>0.18366666666666667</v>
      </c>
    </row>
    <row r="84" spans="1:12" x14ac:dyDescent="0.35">
      <c r="A84" s="8" t="s">
        <v>9</v>
      </c>
    </row>
    <row r="85" spans="1:12" x14ac:dyDescent="0.35">
      <c r="A85" s="9" t="s">
        <v>0</v>
      </c>
      <c r="B85" s="9" t="s">
        <v>1</v>
      </c>
      <c r="C85" s="9" t="s">
        <v>2</v>
      </c>
      <c r="D85" s="9" t="s">
        <v>3</v>
      </c>
      <c r="E85" s="9" t="s">
        <v>4</v>
      </c>
      <c r="F85" s="9" t="s">
        <v>5</v>
      </c>
      <c r="G85" s="9" t="s">
        <v>6</v>
      </c>
      <c r="H85" s="9" t="s">
        <v>7</v>
      </c>
      <c r="I85" s="9" t="s">
        <v>8</v>
      </c>
      <c r="J85" s="9" t="s">
        <v>11</v>
      </c>
    </row>
    <row r="86" spans="1:12" x14ac:dyDescent="0.35">
      <c r="A86" s="2">
        <v>1</v>
      </c>
      <c r="B86" s="2" t="s">
        <v>10</v>
      </c>
      <c r="C86" s="2">
        <v>20</v>
      </c>
      <c r="D86" s="3">
        <v>1000</v>
      </c>
      <c r="E86" s="4">
        <f t="shared" ref="E86:E112" si="2">AVERAGEIFS(E$2:E$82,$A$2:$A$82,A86,$C$2:$C$82,C86,$D$2:$D$82,D86)</f>
        <v>1.4333333333333333</v>
      </c>
      <c r="F86" s="5">
        <f t="shared" ref="F86:F112" si="3">AVERAGEIFS(F$2:F$82,$A$2:$A$82,A86,$C$2:$C$82,C86,$D$2:$D$82,D86)</f>
        <v>0.14133333333333334</v>
      </c>
      <c r="G86" s="5">
        <f t="shared" ref="G86:G112" si="4">AVERAGEIFS(G$2:G$82,$A$2:$A$82,A86,$C$2:$C$82,C86,$D$2:$D$82,D86)</f>
        <v>4.5196666666666667</v>
      </c>
      <c r="H86" s="6">
        <f t="shared" ref="H86:H112" si="5">AVERAGEIFS(H$2:H$82,$A$2:$A$82,A86,$C$2:$C$82,C86,$D$2:$D$82,D86)</f>
        <v>3.3333333333333333E-2</v>
      </c>
      <c r="I86" s="6">
        <f t="shared" ref="I86:I112" si="6">AVERAGEIFS(I$2:I$82,$A$2:$A$82,A86,$C$2:$C$82,C86,$D$2:$D$82,D86)</f>
        <v>3.6</v>
      </c>
      <c r="J86" s="7">
        <f t="shared" ref="J86:J112" si="7">AVERAGEIFS(J$2:J$82,$A$2:$A$82,A86,$C$2:$C$82,C86,$D$2:$D$82,D86)</f>
        <v>0.14333333333333334</v>
      </c>
    </row>
    <row r="87" spans="1:12" x14ac:dyDescent="0.35">
      <c r="A87" s="2">
        <v>1</v>
      </c>
      <c r="B87" s="2" t="s">
        <v>10</v>
      </c>
      <c r="C87" s="2">
        <v>20</v>
      </c>
      <c r="D87" s="3">
        <v>10000</v>
      </c>
      <c r="E87" s="4">
        <f t="shared" si="2"/>
        <v>9.6</v>
      </c>
      <c r="F87" s="5">
        <f t="shared" si="3"/>
        <v>0.19766666666666666</v>
      </c>
      <c r="G87" s="5">
        <f t="shared" si="4"/>
        <v>2.6253333333333333</v>
      </c>
      <c r="H87" s="6">
        <f t="shared" si="5"/>
        <v>0.31333333333333335</v>
      </c>
      <c r="I87" s="6">
        <f t="shared" si="6"/>
        <v>3.6</v>
      </c>
      <c r="J87" s="7">
        <f t="shared" si="7"/>
        <v>9.5999999999999988E-2</v>
      </c>
    </row>
    <row r="88" spans="1:12" x14ac:dyDescent="0.35">
      <c r="A88" s="2">
        <v>1</v>
      </c>
      <c r="B88" s="2" t="s">
        <v>10</v>
      </c>
      <c r="C88" s="2">
        <v>20</v>
      </c>
      <c r="D88" s="3">
        <v>30000</v>
      </c>
      <c r="E88" s="4">
        <f t="shared" si="2"/>
        <v>29.233333333333334</v>
      </c>
      <c r="F88" s="5">
        <f t="shared" si="3"/>
        <v>0.23433333333333337</v>
      </c>
      <c r="G88" s="5">
        <f t="shared" si="4"/>
        <v>1.1633333333333333</v>
      </c>
      <c r="H88" s="6">
        <f t="shared" si="5"/>
        <v>0.70666666666666667</v>
      </c>
      <c r="I88" s="6">
        <f t="shared" si="6"/>
        <v>3.6</v>
      </c>
      <c r="J88" s="7">
        <f t="shared" si="7"/>
        <v>9.7444444444444445E-2</v>
      </c>
    </row>
    <row r="89" spans="1:12" x14ac:dyDescent="0.35">
      <c r="A89" s="2">
        <v>1</v>
      </c>
      <c r="B89" s="2" t="s">
        <v>10</v>
      </c>
      <c r="C89" s="2">
        <v>30</v>
      </c>
      <c r="D89" s="3">
        <v>1000</v>
      </c>
      <c r="E89" s="4">
        <f t="shared" si="2"/>
        <v>3.2333333333333338</v>
      </c>
      <c r="F89" s="5">
        <f t="shared" si="3"/>
        <v>0.13833333333333334</v>
      </c>
      <c r="G89" s="5">
        <f t="shared" si="4"/>
        <v>4.1286666666666667</v>
      </c>
      <c r="H89" s="6">
        <f t="shared" si="5"/>
        <v>3.3333333333333333E-2</v>
      </c>
      <c r="I89" s="6">
        <f t="shared" si="6"/>
        <v>3.6</v>
      </c>
      <c r="J89" s="7">
        <f t="shared" si="7"/>
        <v>0.32333333333333331</v>
      </c>
    </row>
    <row r="90" spans="1:12" x14ac:dyDescent="0.35">
      <c r="A90" s="2">
        <v>1</v>
      </c>
      <c r="B90" s="2" t="s">
        <v>10</v>
      </c>
      <c r="C90" s="2">
        <v>30</v>
      </c>
      <c r="D90" s="3">
        <v>10000</v>
      </c>
      <c r="E90" s="4">
        <f t="shared" si="2"/>
        <v>7.666666666666667</v>
      </c>
      <c r="F90" s="5">
        <f t="shared" si="3"/>
        <v>0.155</v>
      </c>
      <c r="G90" s="5">
        <f t="shared" si="4"/>
        <v>3.5733333333333328</v>
      </c>
      <c r="H90" s="6">
        <f t="shared" si="5"/>
        <v>4.3333333333333335E-2</v>
      </c>
      <c r="I90" s="6">
        <f t="shared" si="6"/>
        <v>3.6</v>
      </c>
      <c r="J90" s="7">
        <f t="shared" si="7"/>
        <v>7.6666666666666675E-2</v>
      </c>
      <c r="L90" s="11">
        <f>AVERAGE(H86:H94)</f>
        <v>0.14222222222222222</v>
      </c>
    </row>
    <row r="91" spans="1:12" x14ac:dyDescent="0.35">
      <c r="A91" s="2">
        <v>1</v>
      </c>
      <c r="B91" s="2" t="s">
        <v>10</v>
      </c>
      <c r="C91" s="2">
        <v>30</v>
      </c>
      <c r="D91" s="3">
        <v>30000</v>
      </c>
      <c r="E91" s="4">
        <f t="shared" si="2"/>
        <v>11.066666666666668</v>
      </c>
      <c r="F91" s="5">
        <f t="shared" si="3"/>
        <v>0.17566666666666667</v>
      </c>
      <c r="G91" s="5">
        <f t="shared" si="4"/>
        <v>3.1289999999999996</v>
      </c>
      <c r="H91" s="6">
        <f t="shared" si="5"/>
        <v>6.0000000000000005E-2</v>
      </c>
      <c r="I91" s="6">
        <f t="shared" si="6"/>
        <v>3.6</v>
      </c>
      <c r="J91" s="7">
        <f t="shared" si="7"/>
        <v>3.6888888888888895E-2</v>
      </c>
    </row>
    <row r="92" spans="1:12" x14ac:dyDescent="0.35">
      <c r="A92" s="2">
        <v>1</v>
      </c>
      <c r="B92" s="2" t="s">
        <v>10</v>
      </c>
      <c r="C92" s="2">
        <v>40</v>
      </c>
      <c r="D92" s="3">
        <v>1000</v>
      </c>
      <c r="E92" s="4">
        <f t="shared" si="2"/>
        <v>1</v>
      </c>
      <c r="F92" s="5">
        <f t="shared" si="3"/>
        <v>9.9999999999999992E-2</v>
      </c>
      <c r="G92" s="5">
        <f t="shared" si="4"/>
        <v>4.2623333333333333</v>
      </c>
      <c r="H92" s="6">
        <f t="shared" si="5"/>
        <v>2.6666666666666668E-2</v>
      </c>
      <c r="I92" s="6">
        <f t="shared" si="6"/>
        <v>3.56</v>
      </c>
      <c r="J92" s="7">
        <f t="shared" si="7"/>
        <v>0.10000000000000002</v>
      </c>
    </row>
    <row r="93" spans="1:12" x14ac:dyDescent="0.35">
      <c r="A93" s="2">
        <v>1</v>
      </c>
      <c r="B93" s="2" t="s">
        <v>10</v>
      </c>
      <c r="C93" s="2">
        <v>40</v>
      </c>
      <c r="D93" s="3">
        <v>10000</v>
      </c>
      <c r="E93" s="4">
        <f t="shared" si="2"/>
        <v>1</v>
      </c>
      <c r="F93" s="5">
        <f t="shared" si="3"/>
        <v>0.11033333333333334</v>
      </c>
      <c r="G93" s="5">
        <f t="shared" si="4"/>
        <v>4.0339999999999998</v>
      </c>
      <c r="H93" s="6">
        <f t="shared" si="5"/>
        <v>0.03</v>
      </c>
      <c r="I93" s="6">
        <f t="shared" si="6"/>
        <v>3.56</v>
      </c>
      <c r="J93" s="7">
        <f t="shared" si="7"/>
        <v>0.01</v>
      </c>
    </row>
    <row r="94" spans="1:12" x14ac:dyDescent="0.35">
      <c r="A94" s="2">
        <v>1</v>
      </c>
      <c r="B94" s="2" t="s">
        <v>10</v>
      </c>
      <c r="C94" s="2">
        <v>40</v>
      </c>
      <c r="D94" s="3">
        <v>30000</v>
      </c>
      <c r="E94" s="4">
        <f t="shared" si="2"/>
        <v>1</v>
      </c>
      <c r="F94" s="5">
        <f t="shared" si="3"/>
        <v>0.12233333333333334</v>
      </c>
      <c r="G94" s="5">
        <f t="shared" si="4"/>
        <v>3.6143333333333332</v>
      </c>
      <c r="H94" s="6">
        <f t="shared" si="5"/>
        <v>3.3333333333333333E-2</v>
      </c>
      <c r="I94" s="6">
        <f t="shared" si="6"/>
        <v>3.56</v>
      </c>
      <c r="J94" s="7">
        <f t="shared" si="7"/>
        <v>3.3333333333333335E-3</v>
      </c>
    </row>
    <row r="95" spans="1:12" x14ac:dyDescent="0.35">
      <c r="A95" s="2">
        <v>2</v>
      </c>
      <c r="B95" s="2" t="s">
        <v>10</v>
      </c>
      <c r="C95" s="2">
        <v>20</v>
      </c>
      <c r="D95" s="3">
        <v>1000</v>
      </c>
      <c r="E95" s="4">
        <f t="shared" si="2"/>
        <v>8.4</v>
      </c>
      <c r="F95" s="5">
        <f t="shared" si="3"/>
        <v>0.18533333333333335</v>
      </c>
      <c r="G95" s="5">
        <f t="shared" si="4"/>
        <v>4.6973333333333329</v>
      </c>
      <c r="H95" s="6">
        <f t="shared" si="5"/>
        <v>0.04</v>
      </c>
      <c r="I95" s="6">
        <f t="shared" si="6"/>
        <v>3.6</v>
      </c>
      <c r="J95" s="7">
        <f t="shared" si="7"/>
        <v>0.83999999999999986</v>
      </c>
    </row>
    <row r="96" spans="1:12" x14ac:dyDescent="0.35">
      <c r="A96" s="2">
        <v>2</v>
      </c>
      <c r="B96" s="2" t="s">
        <v>10</v>
      </c>
      <c r="C96" s="2">
        <v>20</v>
      </c>
      <c r="D96" s="3">
        <v>10000</v>
      </c>
      <c r="E96" s="4">
        <f t="shared" si="2"/>
        <v>12.966666666666667</v>
      </c>
      <c r="F96" s="5">
        <f t="shared" si="3"/>
        <v>0.22666666666666666</v>
      </c>
      <c r="G96" s="5">
        <f t="shared" si="4"/>
        <v>4.0133333333333328</v>
      </c>
      <c r="H96" s="6">
        <f t="shared" si="5"/>
        <v>5.6666666666666664E-2</v>
      </c>
      <c r="I96" s="6">
        <f t="shared" si="6"/>
        <v>3.6</v>
      </c>
      <c r="J96" s="7">
        <f t="shared" si="7"/>
        <v>0.12966666666666668</v>
      </c>
    </row>
    <row r="97" spans="1:10" x14ac:dyDescent="0.35">
      <c r="A97" s="2">
        <v>2</v>
      </c>
      <c r="B97" s="2" t="s">
        <v>10</v>
      </c>
      <c r="C97" s="2">
        <v>20</v>
      </c>
      <c r="D97" s="3">
        <v>30000</v>
      </c>
      <c r="E97" s="4">
        <f t="shared" si="2"/>
        <v>498.5333333333333</v>
      </c>
      <c r="F97" s="5">
        <f t="shared" si="3"/>
        <v>0.316</v>
      </c>
      <c r="G97" s="5">
        <f t="shared" si="4"/>
        <v>1.4616666666666667</v>
      </c>
      <c r="H97" s="6">
        <f t="shared" si="5"/>
        <v>0.6133333333333334</v>
      </c>
      <c r="I97" s="6">
        <f t="shared" si="6"/>
        <v>3.6</v>
      </c>
      <c r="J97" s="7">
        <f t="shared" si="7"/>
        <v>1.6617777777777778</v>
      </c>
    </row>
    <row r="98" spans="1:10" x14ac:dyDescent="0.35">
      <c r="A98" s="2">
        <v>2</v>
      </c>
      <c r="B98" s="2" t="s">
        <v>10</v>
      </c>
      <c r="C98" s="2">
        <v>30</v>
      </c>
      <c r="D98" s="3">
        <v>1000</v>
      </c>
      <c r="E98" s="4">
        <f t="shared" si="2"/>
        <v>3.1999999999999997</v>
      </c>
      <c r="F98" s="5">
        <f t="shared" si="3"/>
        <v>0.17600000000000002</v>
      </c>
      <c r="G98" s="5">
        <f t="shared" si="4"/>
        <v>4.008</v>
      </c>
      <c r="H98" s="6">
        <f t="shared" si="5"/>
        <v>4.3333333333333335E-2</v>
      </c>
      <c r="I98" s="6">
        <f t="shared" si="6"/>
        <v>3.6</v>
      </c>
      <c r="J98" s="7">
        <f t="shared" si="7"/>
        <v>0.32</v>
      </c>
    </row>
    <row r="99" spans="1:10" x14ac:dyDescent="0.35">
      <c r="A99" s="2">
        <v>2</v>
      </c>
      <c r="B99" s="2" t="s">
        <v>10</v>
      </c>
      <c r="C99" s="2">
        <v>30</v>
      </c>
      <c r="D99" s="3">
        <v>10000</v>
      </c>
      <c r="E99" s="4">
        <f t="shared" si="2"/>
        <v>8.7333333333333325</v>
      </c>
      <c r="F99" s="5">
        <f t="shared" si="3"/>
        <v>0.19499999999999998</v>
      </c>
      <c r="G99" s="5">
        <f t="shared" si="4"/>
        <v>4.1206666666666667</v>
      </c>
      <c r="H99" s="6">
        <f t="shared" si="5"/>
        <v>4.3333333333333335E-2</v>
      </c>
      <c r="I99" s="6">
        <f t="shared" si="6"/>
        <v>3.6</v>
      </c>
      <c r="J99" s="7">
        <f t="shared" si="7"/>
        <v>8.7333333333333332E-2</v>
      </c>
    </row>
    <row r="100" spans="1:10" x14ac:dyDescent="0.35">
      <c r="A100" s="2">
        <v>2</v>
      </c>
      <c r="B100" s="2" t="s">
        <v>10</v>
      </c>
      <c r="C100" s="2">
        <v>30</v>
      </c>
      <c r="D100" s="3">
        <v>30000</v>
      </c>
      <c r="E100" s="4">
        <f t="shared" si="2"/>
        <v>36.566666666666663</v>
      </c>
      <c r="F100" s="5">
        <f t="shared" si="3"/>
        <v>0.21533333333333335</v>
      </c>
      <c r="G100" s="5">
        <f t="shared" si="4"/>
        <v>3.890333333333333</v>
      </c>
      <c r="H100" s="6">
        <f t="shared" si="5"/>
        <v>5.6666666666666664E-2</v>
      </c>
      <c r="I100" s="6">
        <f t="shared" si="6"/>
        <v>3.6</v>
      </c>
      <c r="J100" s="7">
        <f t="shared" si="7"/>
        <v>0.12188888888888888</v>
      </c>
    </row>
    <row r="101" spans="1:10" x14ac:dyDescent="0.35">
      <c r="A101" s="2">
        <v>2</v>
      </c>
      <c r="B101" s="2" t="s">
        <v>10</v>
      </c>
      <c r="C101" s="2">
        <v>40</v>
      </c>
      <c r="D101" s="3">
        <v>1000</v>
      </c>
      <c r="E101" s="4">
        <f t="shared" si="2"/>
        <v>3.6999999999999997</v>
      </c>
      <c r="F101" s="5">
        <f t="shared" si="3"/>
        <v>0.153</v>
      </c>
      <c r="G101" s="5">
        <f t="shared" si="4"/>
        <v>4.4133333333333331</v>
      </c>
      <c r="H101" s="6">
        <f t="shared" si="5"/>
        <v>3.6666666666666667E-2</v>
      </c>
      <c r="I101" s="6">
        <f t="shared" si="6"/>
        <v>3.56</v>
      </c>
      <c r="J101" s="7">
        <f t="shared" si="7"/>
        <v>0.37000000000000005</v>
      </c>
    </row>
    <row r="102" spans="1:10" x14ac:dyDescent="0.35">
      <c r="A102" s="2">
        <v>2</v>
      </c>
      <c r="B102" s="2" t="s">
        <v>10</v>
      </c>
      <c r="C102" s="2">
        <v>40</v>
      </c>
      <c r="D102" s="3">
        <v>10000</v>
      </c>
      <c r="E102" s="4">
        <f t="shared" si="2"/>
        <v>20.166666666666668</v>
      </c>
      <c r="F102" s="5">
        <f t="shared" si="3"/>
        <v>0.19766666666666666</v>
      </c>
      <c r="G102" s="5">
        <f t="shared" si="4"/>
        <v>3.7973333333333339</v>
      </c>
      <c r="H102" s="6">
        <f t="shared" si="5"/>
        <v>5.3333333333333337E-2</v>
      </c>
      <c r="I102" s="6">
        <f t="shared" si="6"/>
        <v>3.56</v>
      </c>
      <c r="J102" s="7">
        <f t="shared" si="7"/>
        <v>0.20166666666666669</v>
      </c>
    </row>
    <row r="103" spans="1:10" x14ac:dyDescent="0.35">
      <c r="A103" s="2">
        <v>2</v>
      </c>
      <c r="B103" s="2" t="s">
        <v>10</v>
      </c>
      <c r="C103" s="2">
        <v>40</v>
      </c>
      <c r="D103" s="3">
        <v>30000</v>
      </c>
      <c r="E103" s="4">
        <f t="shared" si="2"/>
        <v>11.700000000000001</v>
      </c>
      <c r="F103" s="5">
        <f t="shared" si="3"/>
        <v>0.19499999999999998</v>
      </c>
      <c r="G103" s="5">
        <f t="shared" si="4"/>
        <v>3.76</v>
      </c>
      <c r="H103" s="6">
        <f t="shared" si="5"/>
        <v>5.000000000000001E-2</v>
      </c>
      <c r="I103" s="6">
        <f t="shared" si="6"/>
        <v>3.56</v>
      </c>
      <c r="J103" s="7">
        <f t="shared" si="7"/>
        <v>3.9E-2</v>
      </c>
    </row>
    <row r="104" spans="1:10" x14ac:dyDescent="0.35">
      <c r="A104" s="2">
        <v>4</v>
      </c>
      <c r="B104" s="2" t="s">
        <v>10</v>
      </c>
      <c r="C104" s="2">
        <v>20</v>
      </c>
      <c r="D104" s="3">
        <v>1000</v>
      </c>
      <c r="E104" s="4">
        <f t="shared" si="2"/>
        <v>19.866666666666664</v>
      </c>
      <c r="F104" s="5">
        <f t="shared" si="3"/>
        <v>0.25433333333333336</v>
      </c>
      <c r="G104" s="5">
        <f t="shared" si="4"/>
        <v>4.3460000000000001</v>
      </c>
      <c r="H104" s="6">
        <f t="shared" si="5"/>
        <v>0.06</v>
      </c>
      <c r="I104" s="6">
        <f t="shared" si="6"/>
        <v>3.6</v>
      </c>
      <c r="J104" s="7">
        <f t="shared" si="7"/>
        <v>1.9866666666666666</v>
      </c>
    </row>
    <row r="105" spans="1:10" x14ac:dyDescent="0.35">
      <c r="A105" s="2">
        <v>4</v>
      </c>
      <c r="B105" s="2" t="s">
        <v>10</v>
      </c>
      <c r="C105" s="2">
        <v>20</v>
      </c>
      <c r="D105" s="3">
        <v>10000</v>
      </c>
      <c r="E105" s="4">
        <f t="shared" si="2"/>
        <v>68.166666666666657</v>
      </c>
      <c r="F105" s="5">
        <f t="shared" si="3"/>
        <v>0.35633333333333334</v>
      </c>
      <c r="G105" s="5">
        <f t="shared" si="4"/>
        <v>3.6099999999999994</v>
      </c>
      <c r="H105" s="6">
        <f t="shared" si="5"/>
        <v>0.10333333333333335</v>
      </c>
      <c r="I105" s="6">
        <f t="shared" si="6"/>
        <v>3.6</v>
      </c>
      <c r="J105" s="7">
        <f t="shared" si="7"/>
        <v>0.68166666666666664</v>
      </c>
    </row>
    <row r="106" spans="1:10" x14ac:dyDescent="0.35">
      <c r="A106" s="2">
        <v>4</v>
      </c>
      <c r="B106" s="2" t="s">
        <v>10</v>
      </c>
      <c r="C106" s="2">
        <v>20</v>
      </c>
      <c r="D106" s="3">
        <v>30000</v>
      </c>
      <c r="E106" s="4">
        <f t="shared" si="2"/>
        <v>631.5</v>
      </c>
      <c r="F106" s="5">
        <f t="shared" si="3"/>
        <v>0.47100000000000003</v>
      </c>
      <c r="G106" s="5">
        <f t="shared" si="4"/>
        <v>1.7183333333333335</v>
      </c>
      <c r="H106" s="6">
        <f t="shared" si="5"/>
        <v>0.64666666666666661</v>
      </c>
      <c r="I106" s="6">
        <f t="shared" si="6"/>
        <v>3.6</v>
      </c>
      <c r="J106" s="7">
        <f t="shared" si="7"/>
        <v>2.105</v>
      </c>
    </row>
    <row r="107" spans="1:10" x14ac:dyDescent="0.35">
      <c r="A107" s="2">
        <v>4</v>
      </c>
      <c r="B107" s="2" t="s">
        <v>10</v>
      </c>
      <c r="C107" s="2">
        <v>30</v>
      </c>
      <c r="D107" s="3">
        <v>1000</v>
      </c>
      <c r="E107" s="4">
        <f t="shared" si="2"/>
        <v>4.3</v>
      </c>
      <c r="F107" s="5">
        <f t="shared" si="3"/>
        <v>0.22666666666666668</v>
      </c>
      <c r="G107" s="5">
        <f t="shared" si="4"/>
        <v>4.3813333333333331</v>
      </c>
      <c r="H107" s="6">
        <f t="shared" si="5"/>
        <v>5.000000000000001E-2</v>
      </c>
      <c r="I107" s="6">
        <f t="shared" si="6"/>
        <v>3.6</v>
      </c>
      <c r="J107" s="7">
        <f t="shared" si="7"/>
        <v>0.43</v>
      </c>
    </row>
    <row r="108" spans="1:10" x14ac:dyDescent="0.35">
      <c r="A108" s="2">
        <v>4</v>
      </c>
      <c r="B108" s="2" t="s">
        <v>10</v>
      </c>
      <c r="C108" s="2">
        <v>30</v>
      </c>
      <c r="D108" s="3">
        <v>10000</v>
      </c>
      <c r="E108" s="4">
        <f t="shared" si="2"/>
        <v>31.933333333333326</v>
      </c>
      <c r="F108" s="5">
        <f t="shared" si="3"/>
        <v>0.25066666666666665</v>
      </c>
      <c r="G108" s="5">
        <f t="shared" si="4"/>
        <v>4.3996666666666666</v>
      </c>
      <c r="H108" s="6">
        <f t="shared" si="5"/>
        <v>0.06</v>
      </c>
      <c r="I108" s="6">
        <f t="shared" si="6"/>
        <v>3.6</v>
      </c>
      <c r="J108" s="7">
        <f t="shared" si="7"/>
        <v>0.31933333333333336</v>
      </c>
    </row>
    <row r="109" spans="1:10" x14ac:dyDescent="0.35">
      <c r="A109" s="2">
        <v>4</v>
      </c>
      <c r="B109" s="2" t="s">
        <v>10</v>
      </c>
      <c r="C109" s="2">
        <v>30</v>
      </c>
      <c r="D109" s="3">
        <v>30000</v>
      </c>
      <c r="E109" s="4">
        <f t="shared" si="2"/>
        <v>37.300000000000004</v>
      </c>
      <c r="F109" s="5">
        <f t="shared" si="3"/>
        <v>0.3</v>
      </c>
      <c r="G109" s="5">
        <f t="shared" si="4"/>
        <v>4.128333333333333</v>
      </c>
      <c r="H109" s="6">
        <f t="shared" si="5"/>
        <v>7.3333333333333334E-2</v>
      </c>
      <c r="I109" s="6">
        <f t="shared" si="6"/>
        <v>3.6</v>
      </c>
      <c r="J109" s="7">
        <f t="shared" si="7"/>
        <v>0.12433333333333334</v>
      </c>
    </row>
    <row r="110" spans="1:10" x14ac:dyDescent="0.35">
      <c r="A110" s="2">
        <v>4</v>
      </c>
      <c r="B110" s="2" t="s">
        <v>10</v>
      </c>
      <c r="C110" s="2">
        <v>40</v>
      </c>
      <c r="D110" s="3">
        <v>1000</v>
      </c>
      <c r="E110" s="4">
        <f t="shared" si="2"/>
        <v>7.7666666666666666</v>
      </c>
      <c r="F110" s="5">
        <f t="shared" si="3"/>
        <v>0.20866666666666667</v>
      </c>
      <c r="G110" s="5">
        <f t="shared" si="4"/>
        <v>4.3856666666666664</v>
      </c>
      <c r="H110" s="6">
        <f t="shared" si="5"/>
        <v>5.000000000000001E-2</v>
      </c>
      <c r="I110" s="6">
        <f t="shared" si="6"/>
        <v>3.56</v>
      </c>
      <c r="J110" s="7">
        <f t="shared" si="7"/>
        <v>0.77666666666666673</v>
      </c>
    </row>
    <row r="111" spans="1:10" x14ac:dyDescent="0.35">
      <c r="A111" s="2">
        <v>4</v>
      </c>
      <c r="B111" s="2" t="s">
        <v>10</v>
      </c>
      <c r="C111" s="2">
        <v>40</v>
      </c>
      <c r="D111" s="3">
        <v>10000</v>
      </c>
      <c r="E111" s="4">
        <f t="shared" si="2"/>
        <v>36.166666666666671</v>
      </c>
      <c r="F111" s="5">
        <f t="shared" si="3"/>
        <v>0.25633333333333336</v>
      </c>
      <c r="G111" s="5">
        <f t="shared" si="4"/>
        <v>4.1239999999999997</v>
      </c>
      <c r="H111" s="6">
        <f t="shared" si="5"/>
        <v>6.3333333333333339E-2</v>
      </c>
      <c r="I111" s="6">
        <f t="shared" si="6"/>
        <v>3.56</v>
      </c>
      <c r="J111" s="7">
        <f t="shared" si="7"/>
        <v>0.36166666666666675</v>
      </c>
    </row>
    <row r="112" spans="1:10" x14ac:dyDescent="0.35">
      <c r="A112" s="2">
        <v>4</v>
      </c>
      <c r="B112" s="2" t="s">
        <v>10</v>
      </c>
      <c r="C112" s="2">
        <v>40</v>
      </c>
      <c r="D112" s="3">
        <v>30000</v>
      </c>
      <c r="E112" s="4">
        <f t="shared" si="2"/>
        <v>20.633333333333336</v>
      </c>
      <c r="F112" s="5">
        <f t="shared" si="3"/>
        <v>0.25800000000000001</v>
      </c>
      <c r="G112" s="5">
        <f t="shared" si="4"/>
        <v>4.18</v>
      </c>
      <c r="H112" s="6">
        <f t="shared" si="5"/>
        <v>6.3333333333333339E-2</v>
      </c>
      <c r="I112" s="6">
        <f t="shared" si="6"/>
        <v>3.56</v>
      </c>
      <c r="J112" s="7">
        <f t="shared" si="7"/>
        <v>6.8777777777777785E-2</v>
      </c>
    </row>
    <row r="114" spans="2:8" x14ac:dyDescent="0.35">
      <c r="H114" s="10"/>
    </row>
    <row r="117" spans="2:8" x14ac:dyDescent="0.35">
      <c r="B117" t="s">
        <v>12</v>
      </c>
    </row>
    <row r="118" spans="2:8" x14ac:dyDescent="0.35">
      <c r="B118" t="s">
        <v>13</v>
      </c>
    </row>
    <row r="119" spans="2:8" x14ac:dyDescent="0.35">
      <c r="B119" t="s">
        <v>14</v>
      </c>
    </row>
    <row r="120" spans="2:8" x14ac:dyDescent="0.35">
      <c r="B120" t="s">
        <v>15</v>
      </c>
    </row>
    <row r="121" spans="2:8" x14ac:dyDescent="0.35">
      <c r="B121" t="s">
        <v>16</v>
      </c>
    </row>
    <row r="122" spans="2:8" x14ac:dyDescent="0.35">
      <c r="B122" t="s">
        <v>17</v>
      </c>
    </row>
    <row r="123" spans="2:8" x14ac:dyDescent="0.35">
      <c r="B123" t="s">
        <v>18</v>
      </c>
    </row>
    <row r="124" spans="2:8" x14ac:dyDescent="0.35">
      <c r="B124" t="s">
        <v>19</v>
      </c>
    </row>
    <row r="125" spans="2:8" x14ac:dyDescent="0.35">
      <c r="B125" t="s">
        <v>20</v>
      </c>
    </row>
  </sheetData>
  <autoFilter ref="A1:J82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PF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Kecharananta, Narith</cp:lastModifiedBy>
  <cp:revision>0</cp:revision>
  <dcterms:created xsi:type="dcterms:W3CDTF">2026-08-19T13:42:06Z</dcterms:created>
  <dcterms:modified xsi:type="dcterms:W3CDTF">2026-08-19T14:56:38Z</dcterms:modified>
  <dc:language>en-US</dc:language>
</cp:coreProperties>
</file>